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e5b66ea44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Guide" sheetId="1" r:id="Rbdad317a87544328"/>
    <x:sheet xmlns:r="http://schemas.openxmlformats.org/officeDocument/2006/relationships" name="Dashboard" sheetId="2" r:id="R8456d9481df140f3"/>
    <x:sheet xmlns:r="http://schemas.openxmlformats.org/officeDocument/2006/relationships" name="Segment Analysis" sheetId="3" r:id="R7396e712bea14a0d"/>
    <x:sheet xmlns:r="http://schemas.openxmlformats.org/officeDocument/2006/relationships" name="Pricing Calculator" sheetId="4" r:id="Rfd8defac8ea844b9"/>
    <x:sheet xmlns:r="http://schemas.openxmlformats.org/officeDocument/2006/relationships" name="Assumptions" sheetId="5" r:id="R45dcd108a76648c7"/>
    <x:sheet xmlns:r="http://schemas.openxmlformats.org/officeDocument/2006/relationships" name="Data Tables" sheetId="6" r:id="R924bdf167976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;[Red](#,##0.00);-"/>
    <x:numFmt numFmtId="201" formatCode="0.0%;[Red](0.0%);-"/>
    <x:numFmt numFmtId="202" formatCode="#,##0;[Red](#,##0);-"/>
    <x:numFmt numFmtId="203" formatCode="0.0000"/>
    <x:numFmt numFmtId="204" formatCode="0.00"/>
    <x:numFmt numFmtId="205" formatCode="0.00x"/>
    <x:numFmt numFmtId="206" formatCode="0.00;[Red](0.00);-"/>
    <x:numFmt numFmtId="207" formatCode="0.00x;[Red](0.00x);-"/>
    <x:numFmt numFmtId="208" formatCode="0.000;[Red](0.000);-"/>
  </x:numFmts>
  <x:fonts count="4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04040"/>
      <x:name val="Carlito"/>
    </x:font>
    <x:font>
      <x:b/>
      <x:sz val="14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i/>
      <x:sz val="10"/>
      <x:color rgb="FF5B6573"/>
      <x:name val="Aptos"/>
    </x:font>
    <x:font>
      <x:b/>
      <x:sz val="10"/>
      <x:color rgb="FF17365D"/>
      <x:name val="Aptos"/>
    </x:font>
    <x:font>
      <x:b/>
      <x:sz val="10"/>
      <x:color rgb="FF7F6000"/>
      <x:name val="Aptos"/>
    </x:font>
    <x:font>
      <x:i/>
      <x:sz val="10"/>
      <x:color rgb="FF7F6000"/>
      <x:name val="Aptos"/>
    </x:font>
    <x:font>
      <x:b/>
      <x:sz val="10"/>
      <x:color rgb="FFFFFFFF"/>
      <x:name val="Aptos"/>
    </x:font>
    <x:font>
      <x:b/>
      <x:sz val="10"/>
      <x:color rgb="FF205D5B"/>
      <x:name val="Aptos"/>
    </x:font>
    <x:font>
      <x:sz val="10"/>
      <x:color rgb="FF0563C1"/>
      <x:name val="Aptos"/>
    </x:font>
    <x:font>
      <x:b/>
      <x:sz val="17"/>
      <x:color rgb="FFFFFFFF"/>
      <x:name val="Aptos Display"/>
    </x:font>
    <x:font>
      <x:i/>
      <x:sz val="10"/>
      <x:color rgb="FF5B6573"/>
      <x:name val="Aptos"/>
    </x:font>
    <x:font>
      <x:b/>
      <x:sz val="9"/>
      <x:color rgb="FF5B6573"/>
      <x:name val="Aptos"/>
    </x:font>
    <x:font>
      <x:b/>
      <x:sz val="18"/>
      <x:color rgb="FF17365D"/>
      <x:name val="Aptos Display"/>
    </x:font>
    <x:font>
      <x:sz val="10"/>
      <x:color rgb="FF5C4B16"/>
      <x:name val="Aptos"/>
    </x:font>
    <x:font>
      <x:i/>
      <x:sz val="9"/>
      <x:color rgb="FF5B6573"/>
      <x:name val="Aptos"/>
    </x:font>
    <x:font>
      <x:b/>
      <x:sz val="9"/>
      <x:color rgb="FF17365D"/>
      <x:name val="Aptos"/>
    </x:font>
    <x:font>
      <x:i/>
      <x:sz val="9"/>
      <x:color rgb="FF7F6000"/>
      <x:name val="Aptos"/>
    </x:font>
    <x:font>
      <x:b/>
      <x:sz val="10"/>
      <x:color rgb="FF0000FF"/>
      <x:name val="Aptos"/>
    </x:font>
    <x:font>
      <x:sz val="10"/>
      <x:color rgb="FF008000"/>
      <x:name val="Aptos"/>
    </x:font>
    <x:font>
      <x:sz val="10"/>
      <x:color rgb="FF000000"/>
      <x:name val="Aptos"/>
    </x:font>
    <x:font>
      <x:b/>
      <x:sz val="14"/>
      <x:color rgb="FF548235"/>
      <x:name val="Aptos Display"/>
    </x:font>
    <x:font>
      <x:sz val="9"/>
      <x:color rgb="FF5B6573"/>
      <x:name val="Aptos"/>
    </x:font>
    <x:font>
      <x:sz val="10"/>
      <x:color rgb="FF0000FF"/>
      <x:name val="Aptos"/>
    </x:font>
    <x:font>
      <x:b/>
      <x:sz val="10"/>
      <x:color rgb="FF000000"/>
      <x:name val="Aptos"/>
    </x:font>
    <x:font>
      <x:b/>
      <x:sz val="10"/>
      <x:color rgb="FF548235"/>
      <x:name val="Aptos"/>
    </x:font>
    <x:font>
      <x:sz val="9"/>
      <x:color rgb="FF0000FF"/>
      <x:name val="Aptos"/>
    </x:font>
    <x:font>
      <x:sz val="9"/>
      <x:color rgb="FF1F2937"/>
      <x:name val="Aptos"/>
    </x:font>
    <x:font>
      <x:b/>
      <x:sz val="18"/>
      <x:color rgb="FFFFFFFF"/>
      <x:name val="Aptos Display"/>
    </x:font>
    <x:font>
      <x:b/>
      <x:i/>
      <x:sz val="18"/>
      <x:color rgb="FFFFFFFF"/>
      <x:name val="Aptos Display"/>
    </x:font>
    <x:font>
      <x:b/>
      <x:sz val="10"/>
      <x:color rgb="FF5C4B16"/>
      <x:name val="Aptos"/>
    </x:font>
    <x:font>
      <x:b/>
      <x:i/>
      <x:sz val="17"/>
      <x:color rgb="FFFFFFFF"/>
      <x:name val="Aptos Display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EEF4F8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1F4E78"/>
      </x:patternFill>
    </x:fill>
    <x:fill>
      <x:patternFill patternType="solid">
        <x:fgColor rgb="FFE8F3F2"/>
      </x:patternFill>
    </x:fill>
    <x:fill>
      <x:patternFill patternType="solid">
        <x:fgColor rgb="FFF3F5F7"/>
      </x:patternFill>
    </x:fill>
    <x:fill>
      <x:patternFill patternType="solid">
        <x:fgColor rgb="FFDCE6F1"/>
      </x:patternFill>
    </x:fill>
    <x:fill>
      <x:patternFill patternType="solid">
        <x:fgColor rgb="FFF8FAF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5" fillId="0" borderId="0" xfId="0" applyNumberFormat="1" applyFont="1" applyFill="1" applyBorder="1"/>
    <x:xf numFmtId="201" fontId="4" fillId="5" borderId="1" xfId="0" applyNumberFormat="1" applyFont="1" applyFill="1" applyBorder="1"/>
    <x:xf numFmtId="201" fontId="5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202" fontId="7" fillId="7" borderId="0" xfId="0" applyNumberFormat="1" applyFont="1" applyFill="1" applyBorder="1"/>
    <x:xf numFmtId="202" fontId="7" fillId="7" borderId="1" xfId="0" applyNumberFormat="1" applyFont="1" applyFill="1" applyBorder="1"/>
    <x:xf numFmtId="200" fontId="7" fillId="7" borderId="0" xfId="0" applyNumberFormat="1" applyFont="1" applyFill="1" applyBorder="1"/>
    <x:xf numFmtId="200" fontId="7" fillId="7" borderId="1" xfId="0" applyNumberFormat="1" applyFont="1" applyFill="1" applyBorder="1"/>
    <x:xf numFmtId="204" fontId="7" fillId="7" borderId="0" xfId="0" applyNumberFormat="1" applyFont="1" applyFill="1" applyBorder="1"/>
    <x:xf numFmtId="204" fontId="7" fillId="7" borderId="1" xfId="0" applyNumberFormat="1" applyFont="1" applyFill="1" applyBorder="1"/>
    <x:xf numFmtId="201" fontId="7" fillId="7" borderId="0" xfId="0" applyNumberFormat="1" applyFont="1" applyFill="1" applyBorder="1"/>
    <x:xf numFmtId="201" fontId="7" fillId="7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wrapText="1"/>
    </x:xf>
    <x:xf numFmtId="202" fontId="7" fillId="7" borderId="0" xfId="0" applyNumberFormat="1" applyFont="1" applyFill="1" applyBorder="1" applyAlignment="1">
      <x:alignment wrapText="1"/>
    </x:xf>
    <x:xf numFmtId="200" fontId="7" fillId="7" borderId="0" xfId="0" applyNumberFormat="1" applyFont="1" applyFill="1" applyBorder="1" applyAlignment="1">
      <x:alignment wrapText="1"/>
    </x:xf>
    <x:xf numFmtId="204" fontId="7" fillId="7" borderId="0" xfId="0" applyNumberFormat="1" applyFont="1" applyFill="1" applyBorder="1" applyAlignment="1">
      <x:alignment wrapText="1"/>
    </x:xf>
    <x:xf numFmtId="201" fontId="7" fillId="7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2" fontId="7" fillId="7" borderId="1" xfId="0" applyNumberFormat="1" applyFont="1" applyFill="1" applyBorder="1" applyAlignment="1">
      <x:alignment wrapText="1"/>
    </x:xf>
    <x:xf numFmtId="200" fontId="7" fillId="7" borderId="1" xfId="0" applyNumberFormat="1" applyFont="1" applyFill="1" applyBorder="1" applyAlignment="1">
      <x:alignment wrapText="1"/>
    </x:xf>
    <x:xf numFmtId="204" fontId="7" fillId="7" borderId="1" xfId="0" applyNumberFormat="1" applyFont="1" applyFill="1" applyBorder="1" applyAlignment="1">
      <x:alignment wrapText="1"/>
    </x:xf>
    <x:xf numFmtId="201" fontId="7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8" fillId="0" borderId="0" xfId="0" applyNumberFormat="1" applyFont="1" applyFill="1" applyBorder="1"/>
    <x:xf numFmtId="205" fontId="8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0" fontId="0" fillId="8" borderId="1" xfId="0" applyNumberFormat="1" applyFont="1" applyFill="1" applyBorder="1"/>
    <x:xf numFmtId="200" fontId="0" fillId="8" borderId="1" xfId="0" applyNumberFormat="1" applyFont="1" applyFill="1" applyBorder="1"/>
    <x:xf numFmtId="0" fontId="9" fillId="8" borderId="1" xfId="0" applyNumberFormat="1" applyFont="1" applyFill="1" applyBorder="1"/>
    <x:xf numFmtId="200" fontId="9" fillId="8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200" fontId="7" fillId="7" borderId="0" xfId="0" applyNumberFormat="1" applyFont="1" applyFill="1" applyBorder="1" applyAlignment="1">
      <x:alignment vertical="center" wrapText="1"/>
    </x:xf>
    <x:xf numFmtId="204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202" fontId="7" fillId="7" borderId="1" xfId="0" applyNumberFormat="1" applyFont="1" applyFill="1" applyBorder="1" applyAlignment="1">
      <x:alignment vertical="center" wrapText="1"/>
    </x:xf>
    <x:xf numFmtId="200" fontId="7" fillId="7" borderId="1" xfId="0" applyNumberFormat="1" applyFont="1" applyFill="1" applyBorder="1" applyAlignment="1">
      <x:alignment vertical="center" wrapText="1"/>
    </x:xf>
    <x:xf numFmtId="204" fontId="7" fillId="7" borderId="1" xfId="0" applyNumberFormat="1" applyFont="1" applyFill="1" applyBorder="1" applyAlignment="1">
      <x:alignment vertical="center" wrapText="1"/>
    </x:xf>
    <x:xf numFmtId="201" fontId="7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200" fontId="9" fillId="8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5" fontId="8" fillId="0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left"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12" fillId="9" borderId="0" xfId="0" applyNumberFormat="1" applyFont="1" applyFill="1" applyBorder="1" applyAlignment="1">
      <x:alignment horizontal="left" vertical="center" wrapText="1"/>
    </x:xf>
    <x:xf numFmtId="0" fontId="10" fillId="10" borderId="0" xfId="0" applyNumberFormat="1" applyFont="1" applyFill="1" applyBorder="1" applyAlignment="1">
      <x:alignment horizontal="left" vertical="center" wrapText="1"/>
    </x:xf>
    <x:xf numFmtId="0" fontId="13" fillId="10" borderId="0" xfId="0" applyNumberFormat="1" applyFont="1" applyFill="1" applyBorder="1" applyAlignment="1">
      <x:alignment horizontal="left"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5" fillId="12" borderId="0" xfId="0" applyNumberFormat="1" applyFont="1" applyFill="1" applyBorder="1" applyAlignment="1">
      <x:alignment vertical="center" wrapText="1"/>
    </x:xf>
    <x:xf numFmtId="0" fontId="16" fillId="12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7" fillId="13" borderId="0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8" fillId="14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/>
    </x:xf>
    <x:xf numFmtId="0" fontId="14" fillId="1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 wrapText="1"/>
    </x:xf>
    <x:xf numFmtId="202" fontId="10" fillId="7" borderId="0" xfId="0" applyNumberFormat="1" applyFont="1" applyFill="1" applyBorder="1" applyAlignment="1">
      <x:alignment vertical="center" wrapText="1"/>
    </x:xf>
    <x:xf numFmtId="200" fontId="10" fillId="7" borderId="0" xfId="0" applyNumberFormat="1" applyFont="1" applyFill="1" applyBorder="1" applyAlignment="1">
      <x:alignment vertical="center" wrapText="1"/>
    </x:xf>
    <x:xf numFmtId="204" fontId="10" fillId="7" borderId="0" xfId="0" applyNumberFormat="1" applyFont="1" applyFill="1" applyBorder="1" applyAlignment="1">
      <x:alignment vertical="center" wrapText="1"/>
    </x:xf>
    <x:xf numFmtId="201" fontId="10" fillId="7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/>
    </x:xf>
    <x:xf numFmtId="0" fontId="20" fillId="9" borderId="0" xfId="0" applyNumberFormat="1" applyFont="1" applyFill="1" applyBorder="1" applyAlignment="1">
      <x:alignment horizontal="left" vertical="center" wrapText="1"/>
    </x:xf>
    <x:xf numFmtId="0" fontId="20" fillId="9" borderId="0" xfId="0" applyNumberFormat="1" applyFont="1" applyFill="1" applyBorder="1" applyAlignment="1">
      <x:alignment vertical="center"/>
    </x:xf>
    <x:xf numFmtId="0" fontId="21" fillId="10" borderId="0" xfId="0" applyNumberFormat="1" applyFont="1" applyFill="1" applyBorder="1" applyAlignment="1">
      <x:alignment vertical="center"/>
    </x:xf>
    <x:xf numFmtId="0" fontId="21" fillId="10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left" vertical="center" wrapText="1"/>
    </x:xf>
    <x:xf numFmtId="0" fontId="11" fillId="13" borderId="0" xfId="0" applyNumberFormat="1" applyFont="1" applyFill="1" applyBorder="1" applyAlignment="1">
      <x:alignment vertical="center"/>
    </x:xf>
    <x:xf numFmtId="0" fontId="17" fillId="13" borderId="0" xfId="0" applyNumberFormat="1" applyFont="1" applyFill="1" applyBorder="1" applyAlignment="1">
      <x:alignment horizontal="left" vertical="center" wrapText="1"/>
    </x:xf>
    <x:xf numFmtId="0" fontId="17" fillId="13" borderId="0" xfId="0" applyNumberFormat="1" applyFont="1" applyFill="1" applyBorder="1" applyAlignment="1">
      <x:alignment vertical="center"/>
    </x:xf>
    <x:xf numFmtId="202" fontId="10" fillId="10" borderId="0" xfId="0" applyNumberFormat="1" applyFont="1" applyFill="1" applyBorder="1" applyAlignment="1">
      <x:alignment vertical="center" wrapText="1"/>
    </x:xf>
    <x:xf numFmtId="0" fontId="22" fillId="10" borderId="0" xfId="0" applyNumberFormat="1" applyFont="1" applyFill="1" applyBorder="1" applyAlignment="1">
      <x:alignment vertical="center" wrapText="1"/>
    </x:xf>
    <x:xf numFmtId="202" fontId="22" fillId="10" borderId="0" xfId="0" applyNumberFormat="1" applyFont="1" applyFill="1" applyBorder="1" applyAlignment="1">
      <x:alignment vertical="center" wrapText="1"/>
    </x:xf>
    <x:xf numFmtId="0" fontId="22" fillId="10" borderId="0" xfId="0" applyNumberFormat="1" applyFont="1" applyFill="1" applyBorder="1" applyAlignment="1">
      <x:alignment horizontal="center" vertical="center" wrapText="1"/>
    </x:xf>
    <x:xf numFmtId="202" fontId="22" fillId="10" borderId="0" xfId="0" applyNumberFormat="1" applyFont="1" applyFill="1" applyBorder="1" applyAlignment="1">
      <x:alignment horizontal="center" vertical="center" wrapText="1"/>
    </x:xf>
    <x:xf numFmtId="0" fontId="23" fillId="11" borderId="0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horizontal="center" vertical="center" wrapText="1"/>
    </x:xf>
    <x:xf numFmtId="202" fontId="23" fillId="11" borderId="0" xfId="0" applyNumberFormat="1" applyFont="1" applyFill="1" applyBorder="1" applyAlignment="1">
      <x:alignment horizontal="center" vertical="center" wrapText="1"/>
    </x:xf>
    <x:xf numFmtId="200" fontId="10" fillId="10" borderId="0" xfId="0" applyNumberFormat="1" applyFont="1" applyFill="1" applyBorder="1" applyAlignment="1">
      <x:alignment vertical="center" wrapText="1"/>
    </x:xf>
    <x:xf numFmtId="204" fontId="10" fillId="10" borderId="0" xfId="0" applyNumberFormat="1" applyFont="1" applyFill="1" applyBorder="1" applyAlignment="1">
      <x:alignment vertical="center" wrapText="1"/>
    </x:xf>
    <x:xf numFmtId="200" fontId="22" fillId="10" borderId="0" xfId="0" applyNumberFormat="1" applyFont="1" applyFill="1" applyBorder="1" applyAlignment="1">
      <x:alignment vertical="center" wrapText="1"/>
    </x:xf>
    <x:xf numFmtId="204" fontId="22" fillId="10" borderId="0" xfId="0" applyNumberFormat="1" applyFont="1" applyFill="1" applyBorder="1" applyAlignment="1">
      <x:alignment vertical="center" wrapText="1"/>
    </x:xf>
    <x:xf numFmtId="200" fontId="22" fillId="10" borderId="0" xfId="0" applyNumberFormat="1" applyFont="1" applyFill="1" applyBorder="1" applyAlignment="1">
      <x:alignment horizontal="center" vertical="center" wrapText="1"/>
    </x:xf>
    <x:xf numFmtId="204" fontId="22" fillId="10" borderId="0" xfId="0" applyNumberFormat="1" applyFont="1" applyFill="1" applyBorder="1" applyAlignment="1">
      <x:alignment horizontal="center" vertical="center" wrapText="1"/>
    </x:xf>
    <x:xf numFmtId="200" fontId="23" fillId="11" borderId="0" xfId="0" applyNumberFormat="1" applyFont="1" applyFill="1" applyBorder="1" applyAlignment="1">
      <x:alignment horizontal="center" vertical="center" wrapText="1"/>
    </x:xf>
    <x:xf numFmtId="201" fontId="10" fillId="10" borderId="0" xfId="0" applyNumberFormat="1" applyFont="1" applyFill="1" applyBorder="1" applyAlignment="1">
      <x:alignment vertical="center" wrapText="1"/>
    </x:xf>
    <x:xf numFmtId="201" fontId="22" fillId="10" borderId="0" xfId="0" applyNumberFormat="1" applyFont="1" applyFill="1" applyBorder="1" applyAlignment="1">
      <x:alignment vertical="center" wrapText="1"/>
    </x:xf>
    <x:xf numFmtId="0" fontId="22" fillId="10" borderId="0" xfId="0" applyNumberFormat="1" applyFont="1" applyFill="1" applyBorder="1" applyAlignment="1">
      <x:alignment vertical="center"/>
    </x:xf>
    <x:xf numFmtId="201" fontId="22" fillId="10" borderId="0" xfId="0" applyNumberFormat="1" applyFont="1" applyFill="1" applyBorder="1" applyAlignment="1">
      <x:alignment horizontal="center" vertical="center" wrapText="1"/>
    </x:xf>
    <x:xf numFmtId="0" fontId="22" fillId="10" borderId="0" xfId="0" applyNumberFormat="1" applyFont="1" applyFill="1" applyBorder="1" applyAlignment="1">
      <x:alignment horizontal="center" vertical="center"/>
    </x:xf>
    <x:xf numFmtId="0" fontId="11" fillId="11" borderId="0" xfId="0" applyNumberFormat="1" applyFont="1" applyFill="1" applyBorder="1" applyAlignment="1">
      <x:alignment vertical="center"/>
    </x:xf>
    <x:xf numFmtId="0" fontId="23" fillId="11" borderId="0" xfId="0" applyNumberFormat="1" applyFont="1" applyFill="1" applyBorder="1" applyAlignment="1">
      <x:alignment vertical="center"/>
    </x:xf>
    <x:xf numFmtId="0" fontId="23" fillId="11" borderId="0" xfId="0" applyNumberFormat="1" applyFont="1" applyFill="1" applyBorder="1" applyAlignment="1">
      <x:alignment horizontal="center" vertical="center"/>
    </x:xf>
    <x:xf numFmtId="206" fontId="23" fillId="11" borderId="0" xfId="0" applyNumberFormat="1" applyFont="1" applyFill="1" applyBorder="1" applyAlignment="1">
      <x:alignment horizontal="center" vertical="center" wrapText="1"/>
    </x:xf>
    <x:xf numFmtId="206" fontId="23" fillId="11" borderId="0" xfId="0" applyNumberFormat="1" applyFont="1" applyFill="1" applyBorder="1" applyAlignment="1">
      <x:alignment horizontal="center" vertical="center"/>
    </x:xf>
    <x:xf numFmtId="201" fontId="23" fillId="11" borderId="0" xfId="0" applyNumberFormat="1" applyFont="1" applyFill="1" applyBorder="1" applyAlignment="1">
      <x:alignment horizontal="center" vertical="center"/>
    </x:xf>
    <x:xf numFmtId="200" fontId="23" fillId="11" borderId="0" xfId="0" applyNumberFormat="1" applyFont="1" applyFill="1" applyBorder="1" applyAlignment="1">
      <x:alignment horizontal="center" vertical="center"/>
    </x:xf>
    <x:xf numFmtId="202" fontId="23" fillId="11" borderId="0" xfId="0" applyNumberFormat="1" applyFont="1" applyFill="1" applyBorder="1" applyAlignment="1">
      <x:alignment horizontal="center" vertical="center"/>
    </x:xf>
    <x:xf numFmtId="0" fontId="11" fillId="12" borderId="0" xfId="0" applyNumberFormat="1" applyFont="1" applyFill="1" applyBorder="1" applyAlignment="1">
      <x:alignment vertical="center"/>
    </x:xf>
    <x:xf numFmtId="0" fontId="24" fillId="12" borderId="0" xfId="0" applyNumberFormat="1" applyFont="1" applyFill="1" applyBorder="1" applyAlignment="1">
      <x:alignment vertical="center" wrapText="1"/>
    </x:xf>
    <x:xf numFmtId="0" fontId="24" fillId="12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/>
    </x:xf>
    <x:xf numFmtId="0" fontId="25" fillId="15" borderId="0" xfId="0" applyNumberFormat="1" applyFont="1" applyFill="1" applyBorder="1" applyAlignment="1">
      <x:alignment vertical="center" wrapText="1"/>
    </x:xf>
    <x:xf numFmtId="0" fontId="25" fillId="15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 wrapText="1"/>
    </x:xf>
    <x:xf numFmtId="205" fontId="11" fillId="0" borderId="0" xfId="0" applyNumberFormat="1" applyFont="1" applyFill="1" applyBorder="1" applyAlignment="1">
      <x:alignment vertical="center" wrapText="1"/>
    </x:xf>
    <x:xf numFmtId="202" fontId="11" fillId="0" borderId="0" xfId="0" applyNumberFormat="1" applyFont="1" applyFill="1" applyBorder="1" applyAlignment="1">
      <x:alignment vertical="center" wrapText="1"/>
    </x:xf>
    <x:xf numFmtId="204" fontId="11" fillId="0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26" fillId="16" borderId="0" xfId="0" applyNumberFormat="1" applyFont="1" applyFill="1" applyBorder="1" applyAlignment="1">
      <x:alignment horizontal="center" vertical="center" wrapText="1"/>
    </x:xf>
    <x:xf numFmtId="0" fontId="11" fillId="17" borderId="0" xfId="0" applyNumberFormat="1" applyFont="1" applyFill="1" applyBorder="1" applyAlignment="1">
      <x:alignment vertical="center" wrapText="1"/>
    </x:xf>
    <x:xf numFmtId="200" fontId="11" fillId="17" borderId="0" xfId="0" applyNumberFormat="1" applyFont="1" applyFill="1" applyBorder="1" applyAlignment="1">
      <x:alignment vertical="center" wrapText="1"/>
    </x:xf>
    <x:xf numFmtId="205" fontId="11" fillId="17" borderId="0" xfId="0" applyNumberFormat="1" applyFont="1" applyFill="1" applyBorder="1" applyAlignment="1">
      <x:alignment vertical="center" wrapText="1"/>
    </x:xf>
    <x:xf numFmtId="200" fontId="11" fillId="11" borderId="0" xfId="0" applyNumberFormat="1" applyFont="1" applyFill="1" applyBorder="1" applyAlignment="1">
      <x:alignment vertical="center" wrapText="1"/>
    </x:xf>
    <x:xf numFmtId="205" fontId="11" fillId="11" borderId="0" xfId="0" applyNumberFormat="1" applyFont="1" applyFill="1" applyBorder="1" applyAlignment="1">
      <x:alignment vertical="center" wrapText="1"/>
    </x:xf>
    <x:xf numFmtId="207" fontId="11" fillId="17" borderId="0" xfId="0" applyNumberFormat="1" applyFont="1" applyFill="1" applyBorder="1" applyAlignment="1">
      <x:alignment vertical="center" wrapText="1"/>
    </x:xf>
    <x:xf numFmtId="207" fontId="11" fillId="11" borderId="0" xfId="0" applyNumberFormat="1" applyFont="1" applyFill="1" applyBorder="1" applyAlignment="1">
      <x:alignment vertical="center" wrapText="1"/>
    </x:xf>
    <x:xf numFmtId="202" fontId="11" fillId="17" borderId="0" xfId="0" applyNumberFormat="1" applyFont="1" applyFill="1" applyBorder="1" applyAlignment="1">
      <x:alignment vertical="center" wrapText="1"/>
    </x:xf>
    <x:xf numFmtId="204" fontId="11" fillId="17" borderId="0" xfId="0" applyNumberFormat="1" applyFont="1" applyFill="1" applyBorder="1" applyAlignment="1">
      <x:alignment vertical="center" wrapText="1"/>
    </x:xf>
    <x:xf numFmtId="202" fontId="11" fillId="11" borderId="0" xfId="0" applyNumberFormat="1" applyFont="1" applyFill="1" applyBorder="1" applyAlignment="1">
      <x:alignment vertical="center" wrapText="1"/>
    </x:xf>
    <x:xf numFmtId="204" fontId="11" fillId="11" borderId="0" xfId="0" applyNumberFormat="1" applyFont="1" applyFill="1" applyBorder="1" applyAlignment="1">
      <x:alignment vertical="center" wrapText="1"/>
    </x:xf>
    <x:xf numFmtId="206" fontId="11" fillId="17" borderId="0" xfId="0" applyNumberFormat="1" applyFont="1" applyFill="1" applyBorder="1" applyAlignment="1">
      <x:alignment vertical="center" wrapText="1"/>
    </x:xf>
    <x:xf numFmtId="206" fontId="11" fillId="11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0" fontId="10" fillId="8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0" fontId="13" fillId="10" borderId="0" xfId="0" applyNumberFormat="1" applyFont="1" applyFill="1" applyBorder="1" applyAlignment="1">
      <x:alignment horizontal="left" vertical="center"/>
    </x:xf>
    <x:xf numFmtId="0" fontId="27" fillId="12" borderId="0" xfId="0" applyNumberFormat="1" applyFont="1" applyFill="1" applyBorder="1" applyAlignment="1">
      <x:alignment vertical="center"/>
    </x:xf>
    <x:xf numFmtId="0" fontId="27" fillId="12" borderId="0" xfId="0" applyNumberFormat="1" applyFont="1" applyFill="1" applyBorder="1" applyAlignment="1">
      <x:alignment vertical="center" wrapText="1"/>
    </x:xf>
    <x:xf numFmtId="0" fontId="11" fillId="17" borderId="0" xfId="0" applyNumberFormat="1" applyFont="1" applyFill="1" applyBorder="1" applyAlignment="1">
      <x:alignment vertical="center"/>
    </x:xf>
    <x:xf numFmtId="205" fontId="11" fillId="17" borderId="0" xfId="0" applyNumberFormat="1" applyFont="1" applyFill="1" applyBorder="1" applyAlignment="1">
      <x:alignment vertical="center"/>
    </x:xf>
    <x:xf numFmtId="201" fontId="11" fillId="17" borderId="0" xfId="0" applyNumberFormat="1" applyFont="1" applyFill="1" applyBorder="1" applyAlignment="1">
      <x:alignment vertical="center"/>
    </x:xf>
    <x:xf numFmtId="205" fontId="11" fillId="11" borderId="0" xfId="0" applyNumberFormat="1" applyFont="1" applyFill="1" applyBorder="1" applyAlignment="1">
      <x:alignment vertical="center"/>
    </x:xf>
    <x:xf numFmtId="201" fontId="11" fillId="11" borderId="0" xfId="0" applyNumberFormat="1" applyFont="1" applyFill="1" applyBorder="1" applyAlignment="1">
      <x:alignment vertical="center"/>
    </x:xf>
    <x:xf numFmtId="0" fontId="28" fillId="12" borderId="0" xfId="0" applyNumberFormat="1" applyFont="1" applyFill="1" applyBorder="1" applyAlignment="1">
      <x:alignment vertical="center"/>
    </x:xf>
    <x:xf numFmtId="0" fontId="28" fillId="12" borderId="0" xfId="0" applyNumberFormat="1" applyFont="1" applyFill="1" applyBorder="1" applyAlignment="1">
      <x:alignment horizontal="center" vertical="center"/>
    </x:xf>
    <x:xf numFmtId="205" fontId="29" fillId="17" borderId="0" xfId="0" applyNumberFormat="1" applyFont="1" applyFill="1" applyBorder="1" applyAlignment="1">
      <x:alignment vertical="center"/>
    </x:xf>
    <x:xf numFmtId="205" fontId="29" fillId="11" borderId="0" xfId="0" applyNumberFormat="1" applyFont="1" applyFill="1" applyBorder="1" applyAlignment="1">
      <x:alignment vertical="center"/>
    </x:xf>
    <x:xf numFmtId="201" fontId="29" fillId="17" borderId="0" xfId="0" applyNumberFormat="1" applyFont="1" applyFill="1" applyBorder="1" applyAlignment="1">
      <x:alignment vertical="center"/>
    </x:xf>
    <x:xf numFmtId="201" fontId="29" fillId="11" borderId="0" xfId="0" applyNumberFormat="1" applyFont="1" applyFill="1" applyBorder="1" applyAlignment="1">
      <x:alignment vertical="center"/>
    </x:xf>
    <x:xf numFmtId="205" fontId="30" fillId="17" borderId="0" xfId="0" applyNumberFormat="1" applyFont="1" applyFill="1" applyBorder="1" applyAlignment="1">
      <x:alignment vertical="center"/>
    </x:xf>
    <x:xf numFmtId="205" fontId="30" fillId="11" borderId="0" xfId="0" applyNumberFormat="1" applyFont="1" applyFill="1" applyBorder="1" applyAlignment="1">
      <x:alignment vertical="center"/>
    </x:xf>
    <x:xf numFmtId="207" fontId="29" fillId="17" borderId="0" xfId="0" applyNumberFormat="1" applyFont="1" applyFill="1" applyBorder="1" applyAlignment="1">
      <x:alignment vertical="center"/>
    </x:xf>
    <x:xf numFmtId="207" fontId="29" fillId="11" borderId="0" xfId="0" applyNumberFormat="1" applyFont="1" applyFill="1" applyBorder="1" applyAlignment="1">
      <x:alignment vertical="center"/>
    </x:xf>
    <x:xf numFmtId="207" fontId="30" fillId="17" borderId="0" xfId="0" applyNumberFormat="1" applyFont="1" applyFill="1" applyBorder="1" applyAlignment="1">
      <x:alignment vertical="center"/>
    </x:xf>
    <x:xf numFmtId="207" fontId="30" fillId="11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17" fillId="13" borderId="0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vertical="center"/>
    </x:xf>
    <x:xf numFmtId="200" fontId="11" fillId="11" borderId="0" xfId="0" applyNumberFormat="1" applyFont="1" applyFill="1" applyBorder="1" applyAlignment="1">
      <x:alignment vertical="center"/>
    </x:xf>
    <x:xf numFmtId="200" fontId="10" fillId="11" borderId="0" xfId="0" applyNumberFormat="1" applyFont="1" applyFill="1" applyBorder="1" applyAlignment="1">
      <x:alignment vertical="center"/>
    </x:xf>
    <x:xf numFmtId="200" fontId="29" fillId="11" borderId="0" xfId="0" applyNumberFormat="1" applyFont="1" applyFill="1" applyBorder="1" applyAlignment="1">
      <x:alignment vertical="center"/>
    </x:xf>
    <x:xf numFmtId="200" fontId="30" fillId="11" borderId="0" xfId="0" applyNumberFormat="1" applyFont="1" applyFill="1" applyBorder="1" applyAlignment="1">
      <x:alignment vertical="center"/>
    </x:xf>
    <x:xf numFmtId="200" fontId="31" fillId="11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/>
    </x:xf>
    <x:xf numFmtId="200" fontId="31" fillId="18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vertical="center" wrapText="1"/>
    </x:xf>
    <x:xf numFmtId="0" fontId="32" fillId="15" borderId="0" xfId="0" applyNumberFormat="1" applyFont="1" applyFill="1" applyBorder="1" applyAlignment="1">
      <x:alignment vertical="center" wrapText="1"/>
    </x:xf>
    <x:xf numFmtId="0" fontId="32" fillId="15" borderId="0" xfId="0" applyNumberFormat="1" applyFont="1" applyFill="1" applyBorder="1" applyAlignment="1">
      <x:alignment vertical="top" wrapText="1"/>
    </x:xf>
    <x:xf numFmtId="200" fontId="11" fillId="5" borderId="0" xfId="0" applyNumberFormat="1" applyFont="1" applyFill="1" applyBorder="1" applyAlignment="1">
      <x:alignment vertical="center" wrapText="1"/>
    </x:xf>
    <x:xf numFmtId="201" fontId="11" fillId="5" borderId="0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vertical="center" wrapText="1"/>
    </x:xf>
    <x:xf numFmtId="201" fontId="11" fillId="17" borderId="0" xfId="0" applyNumberFormat="1" applyFont="1" applyFill="1" applyBorder="1" applyAlignment="1">
      <x:alignment vertical="center" wrapText="1"/>
    </x:xf>
    <x:xf numFmtId="201" fontId="11" fillId="11" borderId="0" xfId="0" applyNumberFormat="1" applyFont="1" applyFill="1" applyBorder="1" applyAlignment="1">
      <x:alignment vertical="center" wrapText="1"/>
    </x:xf>
    <x:xf numFmtId="200" fontId="33" fillId="17" borderId="0" xfId="0" applyNumberFormat="1" applyFont="1" applyFill="1" applyBorder="1" applyAlignment="1">
      <x:alignment vertical="center" wrapText="1"/>
    </x:xf>
    <x:xf numFmtId="201" fontId="33" fillId="11" borderId="0" xfId="0" applyNumberFormat="1" applyFont="1" applyFill="1" applyBorder="1" applyAlignment="1">
      <x:alignment vertical="center" wrapText="1"/>
    </x:xf>
    <x:xf numFmtId="201" fontId="33" fillId="17" borderId="0" xfId="0" applyNumberFormat="1" applyFont="1" applyFill="1" applyBorder="1" applyAlignment="1">
      <x:alignment vertical="center" wrapText="1"/>
    </x:xf>
    <x:xf numFmtId="201" fontId="33" fillId="12" borderId="0" xfId="0" applyNumberFormat="1" applyFont="1" applyFill="1" applyBorder="1" applyAlignment="1">
      <x:alignment vertical="center" wrapText="1"/>
    </x:xf>
    <x:xf numFmtId="200" fontId="33" fillId="10" borderId="0" xfId="0" applyNumberFormat="1" applyFont="1" applyFill="1" applyBorder="1" applyAlignment="1">
      <x:alignment vertical="center" wrapText="1"/>
    </x:xf>
    <x:xf numFmtId="201" fontId="34" fillId="17" borderId="0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vertical="center" wrapText="1"/>
    </x:xf>
    <x:xf numFmtId="201" fontId="34" fillId="18" borderId="0" xfId="0" applyNumberFormat="1" applyFont="1" applyFill="1" applyBorder="1" applyAlignment="1">
      <x:alignment vertical="center" wrapText="1"/>
    </x:xf>
    <x:xf numFmtId="201" fontId="11" fillId="12" borderId="0" xfId="0" applyNumberFormat="1" applyFont="1" applyFill="1" applyBorder="1" applyAlignment="1">
      <x:alignment vertical="center" wrapText="1"/>
    </x:xf>
    <x:xf numFmtId="201" fontId="34" fillId="0" borderId="0" xfId="0" applyNumberFormat="1" applyFont="1" applyFill="1" applyBorder="1" applyAlignment="1">
      <x:alignment vertical="center" wrapText="1"/>
    </x:xf>
    <x:xf numFmtId="0" fontId="35" fillId="18" borderId="0" xfId="0" applyNumberFormat="1" applyFont="1" applyFill="1" applyBorder="1" applyAlignment="1">
      <x:alignment vertical="center" wrapText="1"/>
    </x:xf>
    <x:xf numFmtId="0" fontId="35" fillId="18" borderId="0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 applyAlignment="1">
      <x:alignment vertical="center"/>
    </x:xf>
    <x:xf numFmtId="0" fontId="26" fillId="15" borderId="0" xfId="0" applyNumberFormat="1" applyFont="1" applyFill="1" applyBorder="1" applyAlignment="1">
      <x:alignment vertical="center" wrapText="1"/>
    </x:xf>
    <x:xf numFmtId="0" fontId="26" fillId="15" borderId="0" xfId="0" applyNumberFormat="1" applyFont="1" applyFill="1" applyBorder="1" applyAlignment="1">
      <x:alignment vertical="center"/>
    </x:xf>
    <x:xf numFmtId="0" fontId="32" fillId="15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horizontal="left" vertical="center"/>
    </x:xf>
    <x:xf numFmtId="202" fontId="11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horizontal="left" vertical="center"/>
    </x:xf>
    <x:xf numFmtId="0" fontId="17" fillId="13" borderId="0" xfId="0" applyNumberFormat="1" applyFont="1" applyFill="1" applyBorder="1" applyAlignment="1">
      <x:alignment horizontal="left" vertical="center"/>
    </x:xf>
    <x:xf numFmtId="202" fontId="11" fillId="17" borderId="0" xfId="0" applyNumberFormat="1" applyFont="1" applyFill="1" applyBorder="1" applyAlignment="1">
      <x:alignment vertical="center"/>
    </x:xf>
    <x:xf numFmtId="200" fontId="11" fillId="17" borderId="0" xfId="0" applyNumberFormat="1" applyFont="1" applyFill="1" applyBorder="1" applyAlignment="1">
      <x:alignment vertical="center"/>
    </x:xf>
    <x:xf numFmtId="203" fontId="11" fillId="17" borderId="0" xfId="0" applyNumberFormat="1" applyFont="1" applyFill="1" applyBorder="1" applyAlignment="1">
      <x:alignment vertical="center"/>
    </x:xf>
    <x:xf numFmtId="204" fontId="11" fillId="17" borderId="0" xfId="0" applyNumberFormat="1" applyFont="1" applyFill="1" applyBorder="1" applyAlignment="1">
      <x:alignment vertical="center"/>
    </x:xf>
    <x:xf numFmtId="202" fontId="11" fillId="11" borderId="0" xfId="0" applyNumberFormat="1" applyFont="1" applyFill="1" applyBorder="1" applyAlignment="1">
      <x:alignment vertical="center"/>
    </x:xf>
    <x:xf numFmtId="203" fontId="11" fillId="11" borderId="0" xfId="0" applyNumberFormat="1" applyFont="1" applyFill="1" applyBorder="1" applyAlignment="1">
      <x:alignment vertical="center"/>
    </x:xf>
    <x:xf numFmtId="204" fontId="11" fillId="11" borderId="0" xfId="0" applyNumberFormat="1" applyFont="1" applyFill="1" applyBorder="1" applyAlignment="1">
      <x:alignment vertical="center"/>
    </x:xf>
    <x:xf numFmtId="202" fontId="36" fillId="17" borderId="0" xfId="0" applyNumberFormat="1" applyFont="1" applyFill="1" applyBorder="1" applyAlignment="1">
      <x:alignment vertical="center"/>
    </x:xf>
    <x:xf numFmtId="200" fontId="36" fillId="17" borderId="0" xfId="0" applyNumberFormat="1" applyFont="1" applyFill="1" applyBorder="1" applyAlignment="1">
      <x:alignment vertical="center"/>
    </x:xf>
    <x:xf numFmtId="203" fontId="36" fillId="17" borderId="0" xfId="0" applyNumberFormat="1" applyFont="1" applyFill="1" applyBorder="1" applyAlignment="1">
      <x:alignment vertical="center"/>
    </x:xf>
    <x:xf numFmtId="204" fontId="36" fillId="17" borderId="0" xfId="0" applyNumberFormat="1" applyFont="1" applyFill="1" applyBorder="1" applyAlignment="1">
      <x:alignment vertical="center"/>
    </x:xf>
    <x:xf numFmtId="201" fontId="36" fillId="17" borderId="0" xfId="0" applyNumberFormat="1" applyFont="1" applyFill="1" applyBorder="1" applyAlignment="1">
      <x:alignment vertical="center"/>
    </x:xf>
    <x:xf numFmtId="205" fontId="36" fillId="17" borderId="0" xfId="0" applyNumberFormat="1" applyFont="1" applyFill="1" applyBorder="1" applyAlignment="1">
      <x:alignment vertical="center"/>
    </x:xf>
    <x:xf numFmtId="202" fontId="36" fillId="11" borderId="0" xfId="0" applyNumberFormat="1" applyFont="1" applyFill="1" applyBorder="1" applyAlignment="1">
      <x:alignment vertical="center"/>
    </x:xf>
    <x:xf numFmtId="200" fontId="36" fillId="11" borderId="0" xfId="0" applyNumberFormat="1" applyFont="1" applyFill="1" applyBorder="1" applyAlignment="1">
      <x:alignment vertical="center"/>
    </x:xf>
    <x:xf numFmtId="203" fontId="36" fillId="11" borderId="0" xfId="0" applyNumberFormat="1" applyFont="1" applyFill="1" applyBorder="1" applyAlignment="1">
      <x:alignment vertical="center"/>
    </x:xf>
    <x:xf numFmtId="204" fontId="36" fillId="11" borderId="0" xfId="0" applyNumberFormat="1" applyFont="1" applyFill="1" applyBorder="1" applyAlignment="1">
      <x:alignment vertical="center"/>
    </x:xf>
    <x:xf numFmtId="201" fontId="36" fillId="11" borderId="0" xfId="0" applyNumberFormat="1" applyFont="1" applyFill="1" applyBorder="1" applyAlignment="1">
      <x:alignment vertical="center"/>
    </x:xf>
    <x:xf numFmtId="205" fontId="36" fillId="11" borderId="0" xfId="0" applyNumberFormat="1" applyFont="1" applyFill="1" applyBorder="1" applyAlignment="1">
      <x:alignment vertical="center"/>
    </x:xf>
    <x:xf numFmtId="0" fontId="37" fillId="17" borderId="0" xfId="0" applyNumberFormat="1" applyFont="1" applyFill="1" applyBorder="1" applyAlignment="1">
      <x:alignment vertical="center"/>
    </x:xf>
    <x:xf numFmtId="0" fontId="37" fillId="11" borderId="0" xfId="0" applyNumberFormat="1" applyFont="1" applyFill="1" applyBorder="1" applyAlignment="1">
      <x:alignment vertical="center"/>
    </x:xf>
    <x:xf numFmtId="208" fontId="36" fillId="17" borderId="0" xfId="0" applyNumberFormat="1" applyFont="1" applyFill="1" applyBorder="1" applyAlignment="1">
      <x:alignment vertical="center"/>
    </x:xf>
    <x:xf numFmtId="208" fontId="36" fillId="11" borderId="0" xfId="0" applyNumberFormat="1" applyFont="1" applyFill="1" applyBorder="1" applyAlignment="1">
      <x:alignment vertical="center"/>
    </x:xf>
    <x:xf numFmtId="206" fontId="36" fillId="17" borderId="0" xfId="0" applyNumberFormat="1" applyFont="1" applyFill="1" applyBorder="1" applyAlignment="1">
      <x:alignment vertical="center"/>
    </x:xf>
    <x:xf numFmtId="206" fontId="36" fillId="11" borderId="0" xfId="0" applyNumberFormat="1" applyFont="1" applyFill="1" applyBorder="1" applyAlignment="1">
      <x:alignment vertical="center"/>
    </x:xf>
    <x:xf numFmtId="207" fontId="36" fillId="17" borderId="0" xfId="0" applyNumberFormat="1" applyFont="1" applyFill="1" applyBorder="1" applyAlignment="1">
      <x:alignment vertical="center"/>
    </x:xf>
    <x:xf numFmtId="207" fontId="36" fillId="11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horizontal="left" vertical="center" wrapText="1"/>
    </x:xf>
    <x:xf numFmtId="0" fontId="38" fillId="9" borderId="0" xfId="0" applyNumberFormat="1" applyFont="1" applyFill="1" applyBorder="1" applyAlignment="1">
      <x:alignment horizontal="left" vertical="center" wrapText="1"/>
    </x:xf>
    <x:xf numFmtId="0" fontId="39" fillId="9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21" fillId="9" borderId="0" xfId="0" applyNumberFormat="1" applyFont="1" applyFill="1" applyBorder="1" applyAlignment="1">
      <x:alignment vertical="center" wrapText="1"/>
    </x:xf>
    <x:xf numFmtId="0" fontId="38" fillId="9" borderId="0" xfId="0" applyNumberFormat="1" applyFont="1" applyFill="1" applyBorder="1" applyAlignment="1">
      <x:alignment vertical="center"/>
    </x:xf>
    <x:xf numFmtId="0" fontId="39" fillId="9" borderId="0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0" fontId="40" fillId="12" borderId="0" xfId="0" applyNumberFormat="1" applyFont="1" applyFill="1" applyBorder="1" applyAlignment="1">
      <x:alignment vertical="center" wrapText="1"/>
    </x:xf>
    <x:xf numFmtId="0" fontId="40" fillId="12" borderId="0" xfId="0" applyNumberFormat="1" applyFont="1" applyFill="1" applyBorder="1" applyAlignment="1">
      <x:alignment horizontal="center" vertical="center" wrapText="1"/>
    </x:xf>
    <x:xf numFmtId="0" fontId="17" fillId="12" borderId="0" xfId="0" applyNumberFormat="1" applyFont="1" applyFill="1" applyBorder="1" applyAlignment="1">
      <x:alignment vertical="center"/>
    </x:xf>
    <x:xf numFmtId="0" fontId="40" fillId="12" borderId="0" xfId="0" applyNumberFormat="1" applyFont="1" applyFill="1" applyBorder="1" applyAlignment="1">
      <x:alignment vertical="center"/>
    </x:xf>
    <x:xf numFmtId="0" fontId="24" fillId="15" borderId="0" xfId="0" applyNumberFormat="1" applyFont="1" applyFill="1" applyBorder="1" applyAlignment="1">
      <x:alignment vertical="center" wrapText="1"/>
    </x:xf>
    <x:xf numFmtId="0" fontId="25" fillId="15" borderId="0" xfId="0" applyNumberFormat="1" applyFont="1" applyFill="1" applyBorder="1" applyAlignment="1">
      <x:alignment horizontal="center" vertical="center" wrapText="1"/>
    </x:xf>
    <x:xf numFmtId="0" fontId="41" fillId="9" borderId="0" xfId="0" applyNumberFormat="1" applyFont="1" applyFill="1" applyBorder="1" applyAlignment="1">
      <x:alignment horizontal="left" vertical="center" wrapText="1"/>
    </x:xf>
    <x:xf numFmtId="0" fontId="25" fillId="10" borderId="0" xfId="0" applyNumberFormat="1" applyFont="1" applyFill="1" applyBorder="1" applyAlignment="1">
      <x:alignment vertical="center" wrapText="1"/>
    </x:xf>
    <x:xf numFmtId="0" fontId="20" fillId="9" borderId="0" xfId="0" applyNumberFormat="1" applyFont="1" applyFill="1" applyBorder="1" applyAlignment="1">
      <x:alignment horizontal="left" vertical="center"/>
    </x:xf>
    <x:xf numFmtId="0" fontId="25" fillId="10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21" fillId="10" borderId="0" xfId="0" applyNumberFormat="1" applyFont="1" applyFill="1" applyBorder="1" applyAlignment="1">
      <x:alignment horizontal="left" vertical="center" wrapText="1"/>
    </x:xf>
    <x:xf numFmtId="0" fontId="21" fillId="1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fef6e3ff842ad" /><Relationship Type="http://schemas.openxmlformats.org/officeDocument/2006/relationships/theme" Target="/xl/theme/theme1.xml" Id="R36d92887a16f4537" /><Relationship Type="http://schemas.openxmlformats.org/officeDocument/2006/relationships/sharedStrings" Target="/xl/sharedStrings.xml" Id="R450a81d679c3482b" /><Relationship Type="http://schemas.openxmlformats.org/officeDocument/2006/relationships/worksheet" Target="/xl/worksheets/sheet1.xml" Id="Rbdad317a87544328" /><Relationship Type="http://schemas.openxmlformats.org/officeDocument/2006/relationships/worksheet" Target="/xl/worksheets/sheet2.xml" Id="R8456d9481df140f3" /><Relationship Type="http://schemas.openxmlformats.org/officeDocument/2006/relationships/worksheet" Target="/xl/worksheets/sheet3.xml" Id="R7396e712bea14a0d" /><Relationship Type="http://schemas.openxmlformats.org/officeDocument/2006/relationships/worksheet" Target="/xl/worksheets/sheet4.xml" Id="Rfd8defac8ea844b9" /><Relationship Type="http://schemas.openxmlformats.org/officeDocument/2006/relationships/worksheet" Target="/xl/worksheets/sheet5.xml" Id="R45dcd108a76648c7" /><Relationship Type="http://schemas.openxmlformats.org/officeDocument/2006/relationships/worksheet" Target="/xl/worksheets/sheet6.xml" Id="R924bdf1679764f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9395b47f7c48a2" /><Relationship Type="http://schemas.openxmlformats.org/officeDocument/2006/relationships/chart" Target="/xl/drawings/charts/chart2.xml" Id="Rc9751b2452464f7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44b60e3ab1148d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Indicated Pure Premium</c:v>
          </c:tx>
          <c:cat>
            <c:strRef>
              <c:f>'Data Tables'!$A$6:$A$11</c:f>
              <c:strCache>
                <c:ptCount val="0"/>
              </c:strCache>
            </c:strRef>
          </c:cat>
          <c:val>
            <c:numRef>
              <c:f>'Data Tables'!$K$6:$K$11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Driver age band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Pure premium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Relativity</c:v>
          </c:tx>
          <c:cat>
            <c:strRef>
              <c:f>'Data Tables'!$A$16:$A$19</c:f>
              <c:strCache>
                <c:ptCount val="0"/>
              </c:strCache>
            </c:strRef>
          </c:cat>
          <c:val>
            <c:numRef>
              <c:f>'Data Tables'!$L$16:$L$19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Bonus-Malus band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Relativity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0.00x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Pure Premium</c:v>
          </c:tx>
          <c:cat>
            <c:strRef>
              <c:f>'Segment Analysis'!$A$15:$A$18</c:f>
              <c:strCache>
                <c:ptCount val="0"/>
              </c:strCache>
            </c:strRef>
          </c:cat>
          <c:val>
            <c:numRef>
              <c:f>'Segment Analysis'!$E$15:$E$18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Bonus-Malus band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Pure premium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9395b47f7c48a2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751b2452464f7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4b60e3ab1148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c20dacbc72841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5de549f9387492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6" customHeight="1">
      <x:c r="A1" s="361" t="str">
        <x:v>Motor Insurance Pricing &amp; Risk Analytics</x:v>
      </x:c>
      <x:c r="B1" s="361"/>
      <x:c r="C1" s="361"/>
      <x:c r="D1" s="361"/>
      <x:c r="E1" s="361"/>
      <x:c r="F1" s="361"/>
      <x:c r="G1" s="361"/>
      <x:c r="H1" s="361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 ht="22" customHeight="1">
      <x:c r="A2" s="362" t="str">
        <x:v>Professional portfolio model • Frequency–severity pricing • Reproducible analytics workflow</x:v>
      </x:c>
      <x:c r="B2" s="362"/>
      <x:c r="C2" s="362"/>
      <x:c r="D2" s="362"/>
      <x:c r="E2" s="362"/>
      <x:c r="F2" s="362"/>
      <x:c r="G2" s="362"/>
      <x:c r="H2" s="362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 ht="22" customHeight="1">
      <x:c r="A3" s="203" t="str">
        <x:v>Professional portfolio model • Frequency–severity pricing • Reproducible analytics workflow</x:v>
      </x:c>
      <x:c r="B3" s="203"/>
      <x:c r="C3" s="203"/>
      <x:c r="D3" s="203"/>
      <x:c r="E3" s="203"/>
      <x:c r="F3" s="203"/>
      <x:c r="G3" s="203"/>
      <x:c r="H3" s="203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 ht="22" customHeight="1">
      <x:c r="A4" s="180" t="str">
        <x:v>Purpose</x:v>
      </x:c>
      <x:c r="B4" s="181" t="str">
        <x:v>Educational portfolio model demonstrating frequency–severity insurance pricing.</x:v>
      </x:c>
      <x:c r="C4" s="181"/>
      <x:c r="D4" s="181"/>
      <x:c r="E4" s="181"/>
      <x:c r="F4" s="181"/>
      <x:c r="G4" s="181"/>
      <x:c r="H4" s="181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 ht="22" customHeight="1">
      <x:c r="A5" s="180" t="str">
        <x:v>Dataset</x:v>
      </x:c>
      <x:c r="B5" s="181" t="str">
        <x:v>freMTPL2 French Motor Third-Party Liability</x:v>
      </x:c>
      <x:c r="C5" s="181"/>
      <x:c r="D5" s="181"/>
      <x:c r="E5" s="181"/>
      <x:c r="F5" s="181"/>
      <x:c r="G5" s="181"/>
      <x:c r="H5" s="181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 ht="22" customHeight="1">
      <x:c r="A6" s="180" t="str">
        <x:v>Core framework</x:v>
      </x:c>
      <x:c r="B6" s="181" t="str">
        <x:v>Indicated Pure Premium = Claim Frequency × Average Claim Severity</x:v>
      </x:c>
      <x:c r="C6" s="181"/>
      <x:c r="D6" s="181"/>
      <x:c r="E6" s="181"/>
      <x:c r="F6" s="181"/>
      <x:c r="G6" s="181"/>
      <x:c r="H6" s="181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 ht="22" customHeight="1">
      <x:c r="A7" s="180" t="str">
        <x:v>Frequency model</x:v>
      </x:c>
      <x:c r="B7" s="181" t="str">
        <x:v>Poisson GLM with log(Exposure) offset (Python pipeline)</x:v>
      </x:c>
      <x:c r="C7" s="181"/>
      <x:c r="D7" s="181"/>
      <x:c r="E7" s="181"/>
      <x:c r="F7" s="181"/>
      <x:c r="G7" s="181"/>
      <x:c r="H7" s="181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 ht="22" customHeight="1">
      <x:c r="A8" s="180" t="str">
        <x:v>Severity model</x:v>
      </x:c>
      <x:c r="B8" s="181" t="str">
        <x:v>Gamma GLM with log link (Python pipeline)</x:v>
      </x:c>
      <x:c r="C8" s="181"/>
      <x:c r="D8" s="181"/>
      <x:c r="E8" s="181"/>
      <x:c r="F8" s="181"/>
      <x:c r="G8" s="181"/>
      <x:c r="H8" s="181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 ht="22" customHeight="1">
      <x:c r="A9" s="180" t="str">
        <x:v>Workbook role</x:v>
      </x:c>
      <x:c r="B9" s="181" t="str">
        <x:v>Portfolio KPIs, segment relativities and illustrative pricing calculator</x:v>
      </x:c>
      <x:c r="C9" s="181"/>
      <x:c r="D9" s="181"/>
      <x:c r="E9" s="181"/>
      <x:c r="F9" s="181"/>
      <x:c r="G9" s="181"/>
      <x:c r="H9" s="181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 ht="22" customHeight="1">
      <x:c r="A10" s="378"/>
      <x:c r="B10" s="181"/>
      <x:c r="C10" s="181"/>
      <x:c r="D10" s="181"/>
      <x:c r="E10" s="181"/>
      <x:c r="F10" s="181"/>
      <x:c r="G10" s="181"/>
      <x:c r="H10" s="181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83" t="str">
        <x:v>Important</x:v>
      </x:c>
      <x:c r="B11" s="184" t="str">
        <x:v>The calculator is an educational benchmark, not a production insurance quote.</x:v>
      </x:c>
      <x:c r="C11" s="184"/>
      <x:c r="D11" s="184"/>
      <x:c r="E11" s="184"/>
      <x:c r="F11" s="184"/>
      <x:c r="G11" s="184"/>
      <x:c r="H11" s="184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363"/>
      <x:c r="B12" s="363"/>
      <x:c r="C12" s="363"/>
      <x:c r="D12" s="363"/>
      <x:c r="E12" s="363"/>
      <x:c r="F12" s="363"/>
      <x:c r="G12" s="363"/>
      <x:c r="H12" s="363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 ht="20" customHeight="1">
      <x:c r="A13" s="186" t="str">
        <x:v>Data &amp; reproducibility</x:v>
      </x:c>
      <x:c r="B13" s="186"/>
      <x:c r="C13" s="186"/>
      <x:c r="D13" s="186"/>
      <x:c r="E13" s="186"/>
      <x:c r="F13" s="186"/>
      <x:c r="G13" s="186"/>
      <x:c r="H13" s="186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88" t="str">
        <x:v>Original documentation</x:v>
      </x:c>
      <x:c r="B14" s="189" t="str">
        <x:v>https://dutangc.github.io/CASdatasets/reference/freMTPL.html</x:v>
      </x:c>
      <x:c r="C14" s="171" t="str"/>
      <x:c r="D14" s="171" t="str"/>
      <x:c r="E14" s="171" t="str"/>
      <x:c r="F14" s="171" t="str"/>
      <x:c r="G14" s="171" t="str"/>
      <x:c r="H14" s="171" t="str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88" t="str">
        <x:v>Convenient mirror</x:v>
      </x:c>
      <x:c r="B15" s="189" t="str">
        <x:v>https://huggingface.co/datasets/mabilton/fremtpl2</x:v>
      </x:c>
      <x:c r="C15" s="171" t="str"/>
      <x:c r="D15" s="171" t="str"/>
      <x:c r="E15" s="171" t="str"/>
      <x:c r="F15" s="171" t="str"/>
      <x:c r="G15" s="171" t="str"/>
      <x:c r="H15" s="171" t="str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88" t="str">
        <x:v>Project code</x:v>
      </x:c>
      <x:c r="B16" s="171" t="str">
        <x:v>See README.md and src/ for the reproducible analysis and GLM workflow.</x:v>
      </x:c>
      <x:c r="C16" s="171"/>
      <x:c r="D16" s="171"/>
      <x:c r="E16" s="171"/>
      <x:c r="F16" s="171"/>
      <x:c r="G16" s="171"/>
      <x:c r="H16" s="171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71"/>
      <x:c r="B17" s="171"/>
      <x:c r="C17" s="171"/>
      <x:c r="D17" s="171"/>
      <x:c r="E17" s="171"/>
      <x:c r="F17" s="171"/>
      <x:c r="G17" s="171"/>
      <x:c r="H17" s="171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 ht="20" customHeight="1">
      <x:c r="A18" s="186" t="str">
        <x:v>Workbook map</x:v>
      </x:c>
      <x:c r="B18" s="186"/>
      <x:c r="C18" s="186"/>
      <x:c r="D18" s="186"/>
      <x:c r="E18" s="186"/>
      <x:c r="F18" s="186"/>
      <x:c r="G18" s="186"/>
      <x:c r="H18" s="186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92" t="str">
        <x:v>Dashboard</x:v>
      </x:c>
      <x:c r="B19" s="171" t="str">
        <x:v>Portfolio KPIs, pricing signals and executive interpretation</x:v>
      </x:c>
      <x:c r="C19" s="171"/>
      <x:c r="D19" s="171"/>
      <x:c r="E19" s="171"/>
      <x:c r="F19" s="171"/>
      <x:c r="G19" s="171"/>
      <x:c r="H19" s="171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92" t="str">
        <x:v>Segment Analysis</x:v>
      </x:c>
      <x:c r="B20" s="171" t="str">
        <x:v>One-factor pricing relativities and Bonus-Malus detail</x:v>
      </x:c>
      <x:c r="C20" s="171"/>
      <x:c r="D20" s="171"/>
      <x:c r="E20" s="171"/>
      <x:c r="F20" s="171"/>
      <x:c r="G20" s="171"/>
      <x:c r="H20" s="171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93" t="str">
        <x:v>Pricing Calculator</x:v>
      </x:c>
      <x:c r="B21" s="171" t="str">
        <x:v>Interactive scenario calculator using portfolio benchmark relativities</x:v>
      </x:c>
      <x:c r="C21" s="171"/>
      <x:c r="D21" s="171"/>
      <x:c r="E21" s="171"/>
      <x:c r="F21" s="171"/>
      <x:c r="G21" s="171"/>
      <x:c r="H21" s="171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93" t="str">
        <x:v>Assumptions</x:v>
      </x:c>
      <x:c r="B22" s="171" t="str">
        <x:v>Commercial loadings and relativity weights used by the calculator</x:v>
      </x:c>
      <x:c r="C22" s="171"/>
      <x:c r="D22" s="171"/>
      <x:c r="E22" s="171"/>
      <x:c r="F22" s="171"/>
      <x:c r="G22" s="171"/>
      <x:c r="H22" s="171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93" t="str">
        <x:v>Data Tables</x:v>
      </x:c>
      <x:c r="B23" s="171" t="str">
        <x:v>Verified full-dataset segment tables used throughout the workbook</x:v>
      </x:c>
      <x:c r="C23" s="171"/>
      <x:c r="D23" s="171"/>
      <x:c r="E23" s="171"/>
      <x:c r="F23" s="171"/>
      <x:c r="G23" s="171"/>
      <x:c r="H23" s="171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74"/>
      <x:c r="B24" s="174"/>
      <x:c r="C24" s="174"/>
      <x:c r="D24" s="174"/>
      <x:c r="E24" s="174"/>
      <x:c r="F24" s="174"/>
      <x:c r="G24" s="174"/>
      <x:c r="H24" s="174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/>
      <x:c r="B25" s="118"/>
      <x:c r="C25" s="118"/>
      <x:c r="D25" s="118"/>
      <x:c r="E25" s="118"/>
      <x:c r="F25" s="118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/>
      <x:c r="B26" s="118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/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  <x:row r="81">
      <x:c r="A81" s="118"/>
      <x:c r="B81" s="118"/>
      <x:c r="C81" s="118"/>
      <x:c r="D81" s="118"/>
      <x:c r="E81" s="118"/>
      <x:c r="F81" s="118"/>
      <x:c r="G81" s="118"/>
      <x:c r="H81" s="118"/>
      <x:c r="I81" s="118"/>
      <x:c r="J81" s="118"/>
      <x:c r="K81" s="118"/>
      <x:c r="L81" s="118"/>
      <x:c r="M81" s="118"/>
      <x:c r="N81" s="118"/>
      <x:c r="O81" s="118"/>
      <x:c r="P81" s="118"/>
      <x:c r="Q81" s="118"/>
      <x:c r="R81" s="118"/>
      <x:c r="S81" s="118"/>
      <x:c r="T81" s="118"/>
      <x:c r="U81" s="118"/>
      <x:c r="V81" s="118"/>
      <x:c r="W81" s="118"/>
      <x:c r="X81" s="118"/>
      <x:c r="Y81" s="118"/>
      <x:c r="Z81" s="118"/>
    </x:row>
    <x:row r="82">
      <x:c r="A82" s="118"/>
      <x:c r="B82" s="118"/>
      <x:c r="C82" s="118"/>
      <x:c r="D82" s="118"/>
      <x:c r="E82" s="118"/>
      <x:c r="F82" s="118"/>
      <x:c r="G82" s="118"/>
      <x:c r="H82" s="118"/>
      <x:c r="I82" s="118"/>
      <x:c r="J82" s="118"/>
      <x:c r="K82" s="118"/>
      <x:c r="L82" s="118"/>
      <x:c r="M82" s="118"/>
      <x:c r="N82" s="118"/>
      <x:c r="O82" s="118"/>
      <x:c r="P82" s="118"/>
      <x:c r="Q82" s="118"/>
      <x:c r="R82" s="118"/>
      <x:c r="S82" s="118"/>
      <x:c r="T82" s="118"/>
      <x:c r="U82" s="118"/>
      <x:c r="V82" s="118"/>
      <x:c r="W82" s="118"/>
      <x:c r="X82" s="118"/>
      <x:c r="Y82" s="118"/>
      <x:c r="Z82" s="118"/>
    </x:row>
    <x:row r="83">
      <x:c r="A83" s="118"/>
      <x:c r="B83" s="118"/>
      <x:c r="C83" s="118"/>
      <x:c r="D83" s="118"/>
      <x:c r="E83" s="118"/>
      <x:c r="F83" s="118"/>
      <x:c r="G83" s="118"/>
      <x:c r="H83" s="118"/>
      <x:c r="I83" s="118"/>
      <x:c r="J83" s="118"/>
      <x:c r="K83" s="118"/>
      <x:c r="L83" s="118"/>
      <x:c r="M83" s="118"/>
      <x:c r="N83" s="118"/>
      <x:c r="O83" s="118"/>
      <x:c r="P83" s="118"/>
      <x:c r="Q83" s="118"/>
      <x:c r="R83" s="118"/>
      <x:c r="S83" s="118"/>
      <x:c r="T83" s="118"/>
      <x:c r="U83" s="118"/>
      <x:c r="V83" s="118"/>
      <x:c r="W83" s="118"/>
      <x:c r="X83" s="118"/>
      <x:c r="Y83" s="118"/>
      <x:c r="Z83" s="118"/>
    </x:row>
    <x:row r="84">
      <x:c r="A84" s="118"/>
      <x:c r="B84" s="118"/>
      <x:c r="C84" s="118"/>
      <x:c r="D84" s="118"/>
      <x:c r="E84" s="118"/>
      <x:c r="F84" s="118"/>
      <x:c r="G84" s="118"/>
      <x:c r="H84" s="118"/>
      <x:c r="I84" s="118"/>
      <x:c r="J84" s="118"/>
      <x:c r="K84" s="118"/>
      <x:c r="L84" s="118"/>
      <x:c r="M84" s="118"/>
      <x:c r="N84" s="118"/>
      <x:c r="O84" s="118"/>
      <x:c r="P84" s="118"/>
      <x:c r="Q84" s="118"/>
      <x:c r="R84" s="118"/>
      <x:c r="S84" s="118"/>
      <x:c r="T84" s="118"/>
      <x:c r="U84" s="118"/>
      <x:c r="V84" s="118"/>
      <x:c r="W84" s="118"/>
      <x:c r="X84" s="118"/>
      <x:c r="Y84" s="118"/>
      <x:c r="Z84" s="118"/>
    </x:row>
    <x:row r="85">
      <x:c r="A85" s="118"/>
      <x:c r="B85" s="118"/>
      <x:c r="C85" s="118"/>
      <x:c r="D85" s="118"/>
      <x:c r="E85" s="118"/>
      <x:c r="F85" s="118"/>
      <x:c r="G85" s="118"/>
      <x:c r="H85" s="118"/>
      <x:c r="I85" s="118"/>
      <x:c r="J85" s="118"/>
      <x:c r="K85" s="118"/>
      <x:c r="L85" s="118"/>
      <x:c r="M85" s="118"/>
      <x:c r="N85" s="118"/>
      <x:c r="O85" s="118"/>
      <x:c r="P85" s="118"/>
      <x:c r="Q85" s="118"/>
      <x:c r="R85" s="118"/>
      <x:c r="S85" s="118"/>
      <x:c r="T85" s="118"/>
      <x:c r="U85" s="118"/>
      <x:c r="V85" s="118"/>
      <x:c r="W85" s="118"/>
      <x:c r="X85" s="118"/>
      <x:c r="Y85" s="118"/>
      <x:c r="Z85" s="118"/>
    </x:row>
    <x:row r="86">
      <x:c r="A86" s="118"/>
      <x:c r="B86" s="118"/>
      <x:c r="C86" s="118"/>
      <x:c r="D86" s="118"/>
      <x:c r="E86" s="118"/>
      <x:c r="F86" s="118"/>
      <x:c r="G86" s="118"/>
      <x:c r="H86" s="118"/>
      <x:c r="I86" s="118"/>
      <x:c r="J86" s="118"/>
      <x:c r="K86" s="118"/>
      <x:c r="L86" s="118"/>
      <x:c r="M86" s="118"/>
      <x:c r="N86" s="118"/>
      <x:c r="O86" s="118"/>
      <x:c r="P86" s="118"/>
      <x:c r="Q86" s="118"/>
      <x:c r="R86" s="118"/>
      <x:c r="S86" s="118"/>
      <x:c r="T86" s="118"/>
      <x:c r="U86" s="118"/>
      <x:c r="V86" s="118"/>
      <x:c r="W86" s="118"/>
      <x:c r="X86" s="118"/>
      <x:c r="Y86" s="118"/>
      <x:c r="Z86" s="118"/>
    </x:row>
    <x:row r="87">
      <x:c r="A87" s="118"/>
      <x:c r="B87" s="118"/>
      <x:c r="C87" s="118"/>
      <x:c r="D87" s="118"/>
      <x:c r="E87" s="118"/>
      <x:c r="F87" s="118"/>
      <x:c r="G87" s="118"/>
      <x:c r="H87" s="118"/>
      <x:c r="I87" s="118"/>
      <x:c r="J87" s="118"/>
      <x:c r="K87" s="118"/>
      <x:c r="L87" s="118"/>
      <x:c r="M87" s="118"/>
      <x:c r="N87" s="118"/>
      <x:c r="O87" s="118"/>
      <x:c r="P87" s="118"/>
      <x:c r="Q87" s="118"/>
      <x:c r="R87" s="118"/>
      <x:c r="S87" s="118"/>
      <x:c r="T87" s="118"/>
      <x:c r="U87" s="118"/>
      <x:c r="V87" s="118"/>
      <x:c r="W87" s="118"/>
      <x:c r="X87" s="118"/>
      <x:c r="Y87" s="118"/>
      <x:c r="Z87" s="118"/>
    </x:row>
    <x:row r="88">
      <x:c r="A88" s="118"/>
      <x:c r="B88" s="118"/>
      <x:c r="C88" s="118"/>
      <x:c r="D88" s="118"/>
      <x:c r="E88" s="118"/>
      <x:c r="F88" s="118"/>
      <x:c r="G88" s="118"/>
      <x:c r="H88" s="118"/>
      <x:c r="I88" s="118"/>
      <x:c r="J88" s="118"/>
      <x:c r="K88" s="118"/>
      <x:c r="L88" s="118"/>
      <x:c r="M88" s="118"/>
      <x:c r="N88" s="118"/>
      <x:c r="O88" s="118"/>
      <x:c r="P88" s="118"/>
      <x:c r="Q88" s="118"/>
      <x:c r="R88" s="118"/>
      <x:c r="S88" s="118"/>
      <x:c r="T88" s="118"/>
      <x:c r="U88" s="118"/>
      <x:c r="V88" s="118"/>
      <x:c r="W88" s="118"/>
      <x:c r="X88" s="118"/>
      <x:c r="Y88" s="118"/>
      <x:c r="Z88" s="118"/>
    </x:row>
    <x:row r="89">
      <x:c r="A89" s="118"/>
      <x:c r="B89" s="118"/>
      <x:c r="C89" s="118"/>
      <x:c r="D89" s="118"/>
      <x:c r="E89" s="118"/>
      <x:c r="F89" s="118"/>
      <x:c r="G89" s="118"/>
      <x:c r="H89" s="118"/>
      <x:c r="I89" s="118"/>
      <x:c r="J89" s="118"/>
      <x:c r="K89" s="118"/>
      <x:c r="L89" s="118"/>
      <x:c r="M89" s="118"/>
      <x:c r="N89" s="118"/>
      <x:c r="O89" s="118"/>
      <x:c r="P89" s="118"/>
      <x:c r="Q89" s="118"/>
      <x:c r="R89" s="118"/>
      <x:c r="S89" s="118"/>
      <x:c r="T89" s="118"/>
      <x:c r="U89" s="118"/>
      <x:c r="V89" s="118"/>
      <x:c r="W89" s="118"/>
      <x:c r="X89" s="118"/>
      <x:c r="Y89" s="118"/>
      <x:c r="Z89" s="118"/>
    </x:row>
    <x:row r="90">
      <x:c r="A90" s="118"/>
      <x:c r="B90" s="118"/>
      <x:c r="C90" s="118"/>
      <x:c r="D90" s="118"/>
      <x:c r="E90" s="118"/>
      <x:c r="F90" s="118"/>
      <x:c r="G90" s="118"/>
      <x:c r="H90" s="118"/>
      <x:c r="I90" s="118"/>
      <x:c r="J90" s="118"/>
      <x:c r="K90" s="118"/>
      <x:c r="L90" s="118"/>
      <x:c r="M90" s="118"/>
      <x:c r="N90" s="118"/>
      <x:c r="O90" s="118"/>
      <x:c r="P90" s="118"/>
      <x:c r="Q90" s="118"/>
      <x:c r="R90" s="118"/>
      <x:c r="S90" s="118"/>
      <x:c r="T90" s="118"/>
      <x:c r="U90" s="118"/>
      <x:c r="V90" s="118"/>
      <x:c r="W90" s="118"/>
      <x:c r="X90" s="118"/>
      <x:c r="Y90" s="118"/>
      <x:c r="Z90" s="118"/>
    </x:row>
    <x:row r="91">
      <x:c r="A91" s="118"/>
      <x:c r="B91" s="118"/>
      <x:c r="C91" s="118"/>
      <x:c r="D91" s="118"/>
      <x:c r="E91" s="118"/>
      <x:c r="F91" s="118"/>
      <x:c r="G91" s="118"/>
      <x:c r="H91" s="118"/>
      <x:c r="I91" s="118"/>
      <x:c r="J91" s="118"/>
      <x:c r="K91" s="118"/>
      <x:c r="L91" s="118"/>
      <x:c r="M91" s="118"/>
      <x:c r="N91" s="118"/>
      <x:c r="O91" s="118"/>
      <x:c r="P91" s="118"/>
      <x:c r="Q91" s="118"/>
      <x:c r="R91" s="118"/>
      <x:c r="S91" s="118"/>
      <x:c r="T91" s="118"/>
      <x:c r="U91" s="118"/>
      <x:c r="V91" s="118"/>
      <x:c r="W91" s="118"/>
      <x:c r="X91" s="118"/>
      <x:c r="Y91" s="118"/>
      <x:c r="Z91" s="118"/>
    </x:row>
    <x:row r="92">
      <x:c r="A92" s="118"/>
      <x:c r="B92" s="118"/>
      <x:c r="C92" s="118"/>
      <x:c r="D92" s="118"/>
      <x:c r="E92" s="118"/>
      <x:c r="F92" s="118"/>
      <x:c r="G92" s="118"/>
      <x:c r="H92" s="118"/>
      <x:c r="I92" s="118"/>
      <x:c r="J92" s="118"/>
      <x:c r="K92" s="118"/>
      <x:c r="L92" s="118"/>
      <x:c r="M92" s="118"/>
      <x:c r="N92" s="118"/>
      <x:c r="O92" s="118"/>
      <x:c r="P92" s="118"/>
      <x:c r="Q92" s="118"/>
      <x:c r="R92" s="118"/>
      <x:c r="S92" s="118"/>
      <x:c r="T92" s="118"/>
      <x:c r="U92" s="118"/>
      <x:c r="V92" s="118"/>
      <x:c r="W92" s="118"/>
      <x:c r="X92" s="118"/>
      <x:c r="Y92" s="118"/>
      <x:c r="Z92" s="118"/>
    </x:row>
    <x:row r="93">
      <x:c r="A93" s="118"/>
      <x:c r="B93" s="118"/>
      <x:c r="C93" s="118"/>
      <x:c r="D93" s="118"/>
      <x:c r="E93" s="118"/>
      <x:c r="F93" s="118"/>
      <x:c r="G93" s="118"/>
      <x:c r="H93" s="118"/>
      <x:c r="I93" s="118"/>
      <x:c r="J93" s="118"/>
      <x:c r="K93" s="118"/>
      <x:c r="L93" s="118"/>
      <x:c r="M93" s="118"/>
      <x:c r="N93" s="118"/>
      <x:c r="O93" s="118"/>
      <x:c r="P93" s="118"/>
      <x:c r="Q93" s="118"/>
      <x:c r="R93" s="118"/>
      <x:c r="S93" s="118"/>
      <x:c r="T93" s="118"/>
      <x:c r="U93" s="118"/>
      <x:c r="V93" s="118"/>
      <x:c r="W93" s="118"/>
      <x:c r="X93" s="118"/>
      <x:c r="Y93" s="118"/>
      <x:c r="Z93" s="118"/>
    </x:row>
    <x:row r="94">
      <x:c r="A94" s="118"/>
      <x:c r="B94" s="118"/>
      <x:c r="C94" s="118"/>
      <x:c r="D94" s="118"/>
      <x:c r="E94" s="118"/>
      <x:c r="F94" s="118"/>
      <x:c r="G94" s="118"/>
      <x:c r="H94" s="118"/>
      <x:c r="I94" s="118"/>
      <x:c r="J94" s="118"/>
      <x:c r="K94" s="118"/>
      <x:c r="L94" s="118"/>
      <x:c r="M94" s="118"/>
      <x:c r="N94" s="118"/>
      <x:c r="O94" s="118"/>
      <x:c r="P94" s="118"/>
      <x:c r="Q94" s="118"/>
      <x:c r="R94" s="118"/>
      <x:c r="S94" s="118"/>
      <x:c r="T94" s="118"/>
      <x:c r="U94" s="118"/>
      <x:c r="V94" s="118"/>
      <x:c r="W94" s="118"/>
      <x:c r="X94" s="118"/>
      <x:c r="Y94" s="118"/>
      <x:c r="Z94" s="118"/>
    </x:row>
    <x:row r="95">
      <x:c r="A95" s="118"/>
      <x:c r="B95" s="118"/>
      <x:c r="C95" s="118"/>
      <x:c r="D95" s="118"/>
      <x:c r="E95" s="118"/>
      <x:c r="F95" s="118"/>
      <x:c r="G95" s="118"/>
      <x:c r="H95" s="118"/>
      <x:c r="I95" s="118"/>
      <x:c r="J95" s="118"/>
      <x:c r="K95" s="118"/>
      <x:c r="L95" s="118"/>
      <x:c r="M95" s="118"/>
      <x:c r="N95" s="118"/>
      <x:c r="O95" s="118"/>
      <x:c r="P95" s="118"/>
      <x:c r="Q95" s="118"/>
      <x:c r="R95" s="118"/>
      <x:c r="S95" s="118"/>
      <x:c r="T95" s="118"/>
      <x:c r="U95" s="118"/>
      <x:c r="V95" s="118"/>
      <x:c r="W95" s="118"/>
      <x:c r="X95" s="118"/>
      <x:c r="Y95" s="118"/>
      <x:c r="Z95" s="118"/>
    </x:row>
    <x:row r="96">
      <x:c r="A96" s="118"/>
      <x:c r="B96" s="118"/>
      <x:c r="C96" s="118"/>
      <x:c r="D96" s="118"/>
      <x:c r="E96" s="118"/>
      <x:c r="F96" s="118"/>
      <x:c r="G96" s="118"/>
      <x:c r="H96" s="118"/>
      <x:c r="I96" s="118"/>
      <x:c r="J96" s="118"/>
      <x:c r="K96" s="118"/>
      <x:c r="L96" s="118"/>
      <x:c r="M96" s="118"/>
      <x:c r="N96" s="118"/>
      <x:c r="O96" s="118"/>
      <x:c r="P96" s="118"/>
      <x:c r="Q96" s="118"/>
      <x:c r="R96" s="118"/>
      <x:c r="S96" s="118"/>
      <x:c r="T96" s="118"/>
      <x:c r="U96" s="118"/>
      <x:c r="V96" s="118"/>
      <x:c r="W96" s="118"/>
      <x:c r="X96" s="118"/>
      <x:c r="Y96" s="118"/>
      <x:c r="Z96" s="118"/>
    </x:row>
    <x:row r="97">
      <x:c r="A97" s="118"/>
      <x:c r="B97" s="118"/>
      <x:c r="C97" s="118"/>
      <x:c r="D97" s="118"/>
      <x:c r="E97" s="118"/>
      <x:c r="F97" s="118"/>
      <x:c r="G97" s="118"/>
      <x:c r="H97" s="118"/>
      <x:c r="I97" s="118"/>
      <x:c r="J97" s="118"/>
      <x:c r="K97" s="118"/>
      <x:c r="L97" s="118"/>
      <x:c r="M97" s="118"/>
      <x:c r="N97" s="118"/>
      <x:c r="O97" s="118"/>
      <x:c r="P97" s="118"/>
      <x:c r="Q97" s="118"/>
      <x:c r="R97" s="118"/>
      <x:c r="S97" s="118"/>
      <x:c r="T97" s="118"/>
      <x:c r="U97" s="118"/>
      <x:c r="V97" s="118"/>
      <x:c r="W97" s="118"/>
      <x:c r="X97" s="118"/>
      <x:c r="Y97" s="118"/>
      <x:c r="Z97" s="118"/>
    </x:row>
    <x:row r="98">
      <x:c r="A98" s="118"/>
      <x:c r="B98" s="118"/>
      <x:c r="C98" s="118"/>
      <x:c r="D98" s="118"/>
      <x:c r="E98" s="118"/>
      <x:c r="F98" s="118"/>
      <x:c r="G98" s="118"/>
      <x:c r="H98" s="118"/>
      <x:c r="I98" s="118"/>
      <x:c r="J98" s="118"/>
      <x:c r="K98" s="118"/>
      <x:c r="L98" s="118"/>
      <x:c r="M98" s="118"/>
      <x:c r="N98" s="118"/>
      <x:c r="O98" s="118"/>
      <x:c r="P98" s="118"/>
      <x:c r="Q98" s="118"/>
      <x:c r="R98" s="118"/>
      <x:c r="S98" s="118"/>
      <x:c r="T98" s="118"/>
      <x:c r="U98" s="118"/>
      <x:c r="V98" s="118"/>
      <x:c r="W98" s="118"/>
      <x:c r="X98" s="118"/>
      <x:c r="Y98" s="118"/>
      <x:c r="Z98" s="118"/>
    </x:row>
    <x:row r="99">
      <x:c r="A99" s="118"/>
      <x:c r="B99" s="118"/>
      <x:c r="C99" s="118"/>
      <x:c r="D99" s="118"/>
      <x:c r="E99" s="118"/>
      <x:c r="F99" s="118"/>
      <x:c r="G99" s="118"/>
      <x:c r="H99" s="118"/>
      <x:c r="I99" s="118"/>
      <x:c r="J99" s="118"/>
      <x:c r="K99" s="118"/>
      <x:c r="L99" s="118"/>
      <x:c r="M99" s="118"/>
      <x:c r="N99" s="118"/>
      <x:c r="O99" s="118"/>
      <x:c r="P99" s="118"/>
      <x:c r="Q99" s="118"/>
      <x:c r="R99" s="118"/>
      <x:c r="S99" s="118"/>
      <x:c r="T99" s="118"/>
      <x:c r="U99" s="118"/>
      <x:c r="V99" s="118"/>
      <x:c r="W99" s="118"/>
      <x:c r="X99" s="118"/>
      <x:c r="Y99" s="118"/>
      <x:c r="Z99" s="118"/>
    </x:row>
    <x:row r="100">
      <x:c r="A100" s="118"/>
      <x:c r="B100" s="118"/>
      <x:c r="C100" s="118"/>
      <x:c r="D100" s="118"/>
      <x:c r="E100" s="118"/>
      <x:c r="F100" s="118"/>
      <x:c r="G100" s="118"/>
      <x:c r="H100" s="118"/>
      <x:c r="I100" s="118"/>
      <x:c r="J100" s="118"/>
      <x:c r="K100" s="118"/>
      <x:c r="L100" s="118"/>
      <x:c r="M100" s="118"/>
      <x:c r="N100" s="118"/>
      <x:c r="O100" s="118"/>
      <x:c r="P100" s="118"/>
      <x:c r="Q100" s="118"/>
      <x:c r="R100" s="118"/>
      <x:c r="S100" s="118"/>
      <x:c r="T100" s="118"/>
      <x:c r="U100" s="118"/>
      <x:c r="V100" s="118"/>
      <x:c r="W100" s="118"/>
      <x:c r="X100" s="118"/>
      <x:c r="Y100" s="118"/>
      <x:c r="Z100" s="118"/>
    </x:row>
  </x:sheetData>
  <x:mergeCells>
    <x:mergeCell ref="A12:H12"/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361" t="str">
        <x:v>Motor Insurance Pricing &amp; Risk Analytics — Portfolio Dashboard</x:v>
      </x:c>
      <x:c r="B1" s="361"/>
      <x:c r="C1" s="361"/>
      <x:c r="D1" s="361"/>
      <x:c r="E1" s="361"/>
      <x:c r="F1" s="361"/>
      <x:c r="G1" s="361"/>
      <x:c r="H1" s="361"/>
      <x:c r="I1" s="365"/>
      <x:c r="J1" s="365"/>
      <x:c r="K1" s="365"/>
      <x:c r="L1" s="365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 ht="22" customHeight="1">
      <x:c r="A2" s="362" t="str">
        <x:v>Executive view of portfolio scale, loss-cost benchmarks and descriptive pricing signals</x:v>
      </x:c>
      <x:c r="B2" s="362"/>
      <x:c r="C2" s="362"/>
      <x:c r="D2" s="362"/>
      <x:c r="E2" s="362"/>
      <x:c r="F2" s="362"/>
      <x:c r="G2" s="362"/>
      <x:c r="H2" s="362"/>
      <x:c r="I2" s="366"/>
      <x:c r="J2" s="366"/>
      <x:c r="K2" s="366"/>
      <x:c r="L2" s="366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 ht="22" customHeight="1">
      <x:c r="A3" s="379" t="str">
        <x:v>Executive view of portfolio scale, loss-cost benchmarks and descriptive pricing signals</x:v>
      </x:c>
      <x:c r="B3" s="379"/>
      <x:c r="C3" s="379"/>
      <x:c r="D3" s="379"/>
      <x:c r="E3" s="379"/>
      <x:c r="F3" s="379"/>
      <x:c r="G3" s="379"/>
      <x:c r="H3" s="379"/>
      <x:c r="I3" s="380"/>
      <x:c r="J3" s="380"/>
      <x:c r="K3" s="380"/>
      <x:c r="L3" s="380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 ht="18" customHeight="1">
      <x:c r="A4" s="206" t="str">
        <x:v>Portfolio KPIs</x:v>
      </x:c>
      <x:c r="B4" s="206"/>
      <x:c r="C4" s="206"/>
      <x:c r="D4" s="206"/>
      <x:c r="E4" s="206"/>
      <x:c r="F4" s="206"/>
      <x:c r="G4" s="206"/>
      <x:c r="H4" s="206"/>
      <x:c r="I4" s="207"/>
      <x:c r="J4" s="207"/>
      <x:c r="K4" s="207"/>
      <x:c r="L4" s="207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 ht="18" customHeight="1">
      <x:c r="A5" s="211" t="str">
        <x:v>Policies</x:v>
      </x:c>
      <x:c r="B5" s="212"/>
      <x:c r="C5" s="211"/>
      <x:c r="D5" s="220" t="str">
        <x:v>Policy-years exposure</x:v>
      </x:c>
      <x:c r="E5" s="211"/>
      <x:c r="F5" s="221"/>
      <x:c r="G5" s="211" t="str">
        <x:v>Claims / 100 policy-years</x:v>
      </x:c>
      <x:c r="H5" s="226"/>
      <x:c r="I5" s="227"/>
      <x:c r="J5" s="227" t="str">
        <x:v>Policies with claim</x:v>
      </x:c>
      <x:c r="K5" s="227"/>
      <x:c r="L5" s="227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 ht="18" customHeight="1">
      <x:c r="A6" s="215" t="n">
        <x:v>678013</x:v>
      </x:c>
      <x:c r="B6" s="215"/>
      <x:c r="C6" s="215"/>
      <x:c r="D6" s="222" t="n">
        <x:v>358499.45</x:v>
      </x:c>
      <x:c r="E6" s="222"/>
      <x:c r="F6" s="222"/>
      <x:c r="G6" s="231" t="n">
        <x:v>10.07</x:v>
      </x:c>
      <x:c r="H6" s="231"/>
      <x:c r="I6" s="232"/>
      <x:c r="J6" s="233" t="n">
        <x:v>0.05024</x:v>
      </x:c>
      <x:c r="K6" s="233"/>
      <x:c r="L6" s="233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 ht="18" customHeight="1">
      <x:c r="A7" s="215"/>
      <x:c r="B7" s="215"/>
      <x:c r="C7" s="215"/>
      <x:c r="D7" s="222"/>
      <x:c r="E7" s="222"/>
      <x:c r="F7" s="222"/>
      <x:c r="G7" s="231"/>
      <x:c r="H7" s="231"/>
      <x:c r="I7" s="232"/>
      <x:c r="J7" s="233"/>
      <x:c r="K7" s="233"/>
      <x:c r="L7" s="233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 ht="18" customHeight="1">
      <x:c r="A8" s="211" t="str">
        <x:v>Average severity</x:v>
      </x:c>
      <x:c r="B8" s="220"/>
      <x:c r="C8" s="211"/>
      <x:c r="D8" s="220" t="str">
        <x:v>Observed loss cost</x:v>
      </x:c>
      <x:c r="E8" s="211"/>
      <x:c r="F8" s="220"/>
      <x:c r="G8" s="211" t="str">
        <x:v>Indicated pure premium</x:v>
      </x:c>
      <x:c r="H8" s="212"/>
      <x:c r="I8" s="227"/>
      <x:c r="J8" s="227" t="str">
        <x:v>Matched severity rows</x:v>
      </x:c>
      <x:c r="K8" s="227"/>
      <x:c r="L8" s="227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 ht="18" customHeight="1">
      <x:c r="A9" s="222" t="n">
        <x:v>2265.51</x:v>
      </x:c>
      <x:c r="B9" s="222"/>
      <x:c r="C9" s="222"/>
      <x:c r="D9" s="222" t="n">
        <x:v>167.11</x:v>
      </x:c>
      <x:c r="E9" s="222"/>
      <x:c r="F9" s="222"/>
      <x:c r="G9" s="222" t="n">
        <x:v>228.14</x:v>
      </x:c>
      <x:c r="H9" s="222"/>
      <x:c r="I9" s="234"/>
      <x:c r="J9" s="235" t="n">
        <x:v>26444</x:v>
      </x:c>
      <x:c r="K9" s="235"/>
      <x:c r="L9" s="235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 ht="18" customHeight="1">
      <x:c r="A10" s="222"/>
      <x:c r="B10" s="222"/>
      <x:c r="C10" s="222"/>
      <x:c r="D10" s="222"/>
      <x:c r="E10" s="222"/>
      <x:c r="F10" s="222"/>
      <x:c r="G10" s="222"/>
      <x:c r="H10" s="222"/>
      <x:c r="I10" s="234"/>
      <x:c r="J10" s="235"/>
      <x:c r="K10" s="235"/>
      <x:c r="L10" s="235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 ht="20" customHeight="1">
      <x:c r="A11" s="206" t="str">
        <x:v>Portfolio interpretation</x:v>
      </x:c>
      <x:c r="B11" s="206"/>
      <x:c r="C11" s="206"/>
      <x:c r="D11" s="206"/>
      <x:c r="E11" s="206"/>
      <x:c r="F11" s="206"/>
      <x:c r="G11" s="206"/>
      <x:c r="H11" s="206"/>
      <x:c r="I11" s="207"/>
      <x:c r="J11" s="207"/>
      <x:c r="K11" s="207"/>
      <x:c r="L11" s="207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 ht="18" customHeight="1">
      <x:c r="A12" s="369" t="str">
        <x:v>Highest age signal
18–25: 17.51 claims / 100 policy-years • 896.64 pure premium • 3.93x benchmark</x:v>
      </x:c>
      <x:c r="B12" s="369"/>
      <x:c r="C12" s="369"/>
      <x:c r="D12" s="369"/>
      <x:c r="E12" s="369"/>
      <x:c r="F12" s="369"/>
      <x:c r="G12" s="369" t="str">
        <x:v>Bonus-Malus gradient
&gt;100 band: 37.58 claims / 100 policy-years • 765.88 pure premium • 3.36x benchmark</x:v>
      </x:c>
      <x:c r="H12" s="369"/>
      <x:c r="I12" s="369"/>
      <x:c r="J12" s="369"/>
      <x:c r="K12" s="369"/>
      <x:c r="L12" s="369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 ht="18" customHeight="1">
      <x:c r="A13" s="369"/>
      <x:c r="B13" s="369"/>
      <x:c r="C13" s="369"/>
      <x:c r="D13" s="369"/>
      <x:c r="E13" s="369"/>
      <x:c r="F13" s="369"/>
      <x:c r="G13" s="369"/>
      <x:c r="H13" s="369"/>
      <x:c r="I13" s="369"/>
      <x:c r="J13" s="369"/>
      <x:c r="K13" s="369"/>
      <x:c r="L13" s="369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 ht="18" customHeight="1">
      <x:c r="A14" s="373" t="str">
        <x:v>These are descriptive one-factor portfolio results. Use the fitted multivariate GLM workflow for technical pricing and production decisions.</x:v>
      </x:c>
      <x:c r="B14" s="373"/>
      <x:c r="C14" s="373"/>
      <x:c r="D14" s="373"/>
      <x:c r="E14" s="373"/>
      <x:c r="F14" s="373"/>
      <x:c r="G14" s="373"/>
      <x:c r="H14" s="373"/>
      <x:c r="I14" s="373"/>
      <x:c r="J14" s="373"/>
      <x:c r="K14" s="373"/>
      <x:c r="L14" s="373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 ht="18" customHeight="1">
      <x:c r="A15" s="171"/>
      <x:c r="B15" s="171"/>
      <x:c r="C15" s="171"/>
      <x:c r="D15" s="171"/>
      <x:c r="E15" s="171"/>
      <x:c r="F15" s="171"/>
      <x:c r="G15" s="171"/>
      <x:c r="H15" s="171"/>
      <x:c r="I15" s="174"/>
      <x:c r="J15" s="174"/>
      <x:c r="K15" s="174"/>
      <x:c r="L15" s="174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 ht="18" customHeight="1">
      <x:c r="A16" s="171"/>
      <x:c r="B16" s="171"/>
      <x:c r="C16" s="171"/>
      <x:c r="D16" s="171"/>
      <x:c r="E16" s="171"/>
      <x:c r="F16" s="171"/>
      <x:c r="G16" s="171"/>
      <x:c r="H16" s="171"/>
      <x:c r="I16" s="174"/>
      <x:c r="J16" s="174"/>
      <x:c r="K16" s="174"/>
      <x:c r="L16" s="174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 ht="18" customHeight="1">
      <x:c r="A17" s="171"/>
      <x:c r="B17" s="171"/>
      <x:c r="C17" s="171"/>
      <x:c r="D17" s="171"/>
      <x:c r="E17" s="171"/>
      <x:c r="F17" s="171"/>
      <x:c r="G17" s="171"/>
      <x:c r="H17" s="171"/>
      <x:c r="I17" s="174"/>
      <x:c r="J17" s="174"/>
      <x:c r="K17" s="174"/>
      <x:c r="L17" s="174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 ht="18" customHeight="1">
      <x:c r="A18" s="171"/>
      <x:c r="B18" s="171"/>
      <x:c r="C18" s="171"/>
      <x:c r="D18" s="171"/>
      <x:c r="E18" s="171"/>
      <x:c r="F18" s="171"/>
      <x:c r="G18" s="171"/>
      <x:c r="H18" s="171"/>
      <x:c r="I18" s="174"/>
      <x:c r="J18" s="174"/>
      <x:c r="K18" s="174"/>
      <x:c r="L18" s="174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 ht="18" customHeight="1">
      <x:c r="A19" s="171"/>
      <x:c r="B19" s="171"/>
      <x:c r="C19" s="171"/>
      <x:c r="D19" s="171"/>
      <x:c r="E19" s="171"/>
      <x:c r="F19" s="171"/>
      <x:c r="G19" s="171"/>
      <x:c r="H19" s="171"/>
      <x:c r="I19" s="174"/>
      <x:c r="J19" s="174"/>
      <x:c r="K19" s="174"/>
      <x:c r="L19" s="174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 ht="18" customHeight="1">
      <x:c r="A20" s="171"/>
      <x:c r="B20" s="171"/>
      <x:c r="C20" s="171"/>
      <x:c r="D20" s="171"/>
      <x:c r="E20" s="171"/>
      <x:c r="F20" s="171"/>
      <x:c r="G20" s="171"/>
      <x:c r="H20" s="171"/>
      <x:c r="I20" s="174"/>
      <x:c r="J20" s="174"/>
      <x:c r="K20" s="174"/>
      <x:c r="L20" s="174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 ht="18" customHeight="1">
      <x:c r="A21" s="171"/>
      <x:c r="B21" s="171"/>
      <x:c r="C21" s="171"/>
      <x:c r="D21" s="171"/>
      <x:c r="E21" s="171"/>
      <x:c r="F21" s="171"/>
      <x:c r="G21" s="171"/>
      <x:c r="H21" s="171"/>
      <x:c r="I21" s="174"/>
      <x:c r="J21" s="174"/>
      <x:c r="K21" s="174"/>
      <x:c r="L21" s="174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 ht="18" customHeight="1">
      <x:c r="A22" s="171"/>
      <x:c r="B22" s="171"/>
      <x:c r="C22" s="171"/>
      <x:c r="D22" s="171"/>
      <x:c r="E22" s="171"/>
      <x:c r="F22" s="171"/>
      <x:c r="G22" s="171"/>
      <x:c r="H22" s="171"/>
      <x:c r="I22" s="174"/>
      <x:c r="J22" s="174"/>
      <x:c r="K22" s="174"/>
      <x:c r="L22" s="174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 ht="18" customHeight="1">
      <x:c r="A23" s="171"/>
      <x:c r="B23" s="171"/>
      <x:c r="C23" s="171"/>
      <x:c r="D23" s="171"/>
      <x:c r="E23" s="171"/>
      <x:c r="F23" s="171"/>
      <x:c r="G23" s="171"/>
      <x:c r="H23" s="171"/>
      <x:c r="I23" s="174"/>
      <x:c r="J23" s="174"/>
      <x:c r="K23" s="174"/>
      <x:c r="L23" s="174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 ht="18" customHeight="1">
      <x:c r="A24" s="171"/>
      <x:c r="B24" s="171"/>
      <x:c r="C24" s="171"/>
      <x:c r="D24" s="171"/>
      <x:c r="E24" s="171"/>
      <x:c r="F24" s="171"/>
      <x:c r="G24" s="171"/>
      <x:c r="H24" s="171"/>
      <x:c r="I24" s="174"/>
      <x:c r="J24" s="174"/>
      <x:c r="K24" s="174"/>
      <x:c r="L24" s="174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 ht="18" customHeight="1">
      <x:c r="A25" s="171"/>
      <x:c r="B25" s="171"/>
      <x:c r="C25" s="171"/>
      <x:c r="D25" s="171"/>
      <x:c r="E25" s="171"/>
      <x:c r="F25" s="171"/>
      <x:c r="G25" s="171"/>
      <x:c r="H25" s="171"/>
      <x:c r="I25" s="174"/>
      <x:c r="J25" s="174"/>
      <x:c r="K25" s="174"/>
      <x:c r="L25" s="174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 ht="18" customHeight="1">
      <x:c r="A26" s="171"/>
      <x:c r="B26" s="171"/>
      <x:c r="C26" s="171"/>
      <x:c r="D26" s="171"/>
      <x:c r="E26" s="171"/>
      <x:c r="F26" s="171"/>
      <x:c r="G26" s="171"/>
      <x:c r="H26" s="171"/>
      <x:c r="I26" s="174"/>
      <x:c r="J26" s="174"/>
      <x:c r="K26" s="174"/>
      <x:c r="L26" s="174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 ht="18" customHeight="1">
      <x:c r="A27" s="171"/>
      <x:c r="B27" s="171"/>
      <x:c r="C27" s="171"/>
      <x:c r="D27" s="171"/>
      <x:c r="E27" s="171"/>
      <x:c r="F27" s="171"/>
      <x:c r="G27" s="171"/>
      <x:c r="H27" s="171"/>
      <x:c r="I27" s="174"/>
      <x:c r="J27" s="174"/>
      <x:c r="K27" s="174"/>
      <x:c r="L27" s="174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 ht="18" customHeight="1">
      <x:c r="A28" s="171"/>
      <x:c r="B28" s="171"/>
      <x:c r="C28" s="171"/>
      <x:c r="D28" s="171"/>
      <x:c r="E28" s="171"/>
      <x:c r="F28" s="171"/>
      <x:c r="G28" s="171"/>
      <x:c r="H28" s="171"/>
      <x:c r="I28" s="174"/>
      <x:c r="J28" s="174"/>
      <x:c r="K28" s="174"/>
      <x:c r="L28" s="174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 ht="18" customHeight="1">
      <x:c r="A29" s="171"/>
      <x:c r="B29" s="171"/>
      <x:c r="C29" s="171"/>
      <x:c r="D29" s="171"/>
      <x:c r="E29" s="171"/>
      <x:c r="F29" s="171"/>
      <x:c r="G29" s="171"/>
      <x:c r="H29" s="171"/>
      <x:c r="I29" s="174"/>
      <x:c r="J29" s="174"/>
      <x:c r="K29" s="174"/>
      <x:c r="L29" s="174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 ht="18" customHeight="1">
      <x:c r="A30" s="171"/>
      <x:c r="B30" s="171"/>
      <x:c r="C30" s="171"/>
      <x:c r="D30" s="171"/>
      <x:c r="E30" s="171"/>
      <x:c r="F30" s="171"/>
      <x:c r="G30" s="171"/>
      <x:c r="H30" s="171"/>
      <x:c r="I30" s="174"/>
      <x:c r="J30" s="174"/>
      <x:c r="K30" s="174"/>
      <x:c r="L30" s="174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 ht="18" customHeight="1">
      <x:c r="A31" s="171"/>
      <x:c r="B31" s="171"/>
      <x:c r="C31" s="171"/>
      <x:c r="D31" s="171"/>
      <x:c r="E31" s="171"/>
      <x:c r="F31" s="171"/>
      <x:c r="G31" s="171"/>
      <x:c r="H31" s="171"/>
      <x:c r="I31" s="174"/>
      <x:c r="J31" s="174"/>
      <x:c r="K31" s="174"/>
      <x:c r="L31" s="174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 ht="18" customHeight="1">
      <x:c r="A32" s="171"/>
      <x:c r="B32" s="171"/>
      <x:c r="C32" s="171"/>
      <x:c r="D32" s="171"/>
      <x:c r="E32" s="171"/>
      <x:c r="F32" s="171"/>
      <x:c r="G32" s="171"/>
      <x:c r="H32" s="171"/>
      <x:c r="I32" s="174"/>
      <x:c r="J32" s="174"/>
      <x:c r="K32" s="174"/>
      <x:c r="L32" s="174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 ht="18" customHeight="1">
      <x:c r="A33" s="171"/>
      <x:c r="B33" s="171"/>
      <x:c r="C33" s="171"/>
      <x:c r="D33" s="171"/>
      <x:c r="E33" s="171"/>
      <x:c r="F33" s="171"/>
      <x:c r="G33" s="171"/>
      <x:c r="H33" s="171"/>
      <x:c r="I33" s="174"/>
      <x:c r="J33" s="174"/>
      <x:c r="K33" s="174"/>
      <x:c r="L33" s="174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 ht="18" customHeight="1">
      <x:c r="A34" s="241" t="str">
        <x:v>Source: freMTPL2 French Motor Third-Party Liability data. Descriptive portfolio views shown here are not production rates.</x:v>
      </x:c>
      <x:c r="B34" s="241"/>
      <x:c r="C34" s="241"/>
      <x:c r="D34" s="241"/>
      <x:c r="E34" s="241"/>
      <x:c r="F34" s="241"/>
      <x:c r="G34" s="241"/>
      <x:c r="H34" s="241"/>
      <x:c r="I34" s="241"/>
      <x:c r="J34" s="241"/>
      <x:c r="K34" s="241"/>
      <x:c r="L34" s="241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 ht="18" customHeight="1">
      <x:c r="A35" s="174"/>
      <x:c r="B35" s="174"/>
      <x:c r="C35" s="174"/>
      <x:c r="D35" s="174"/>
      <x:c r="E35" s="174"/>
      <x:c r="F35" s="174"/>
      <x:c r="G35" s="174"/>
      <x:c r="H35" s="174"/>
      <x:c r="I35" s="174"/>
      <x:c r="J35" s="174"/>
      <x:c r="K35" s="174"/>
      <x:c r="L35" s="174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 ht="18" customHeight="1">
      <x:c r="A36" s="174"/>
      <x:c r="B36" s="174"/>
      <x:c r="C36" s="174"/>
      <x:c r="D36" s="174"/>
      <x:c r="E36" s="174"/>
      <x:c r="F36" s="174"/>
      <x:c r="G36" s="174"/>
      <x:c r="H36" s="174"/>
      <x:c r="I36" s="174"/>
      <x:c r="J36" s="174"/>
      <x:c r="K36" s="174"/>
      <x:c r="L36" s="174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 ht="18" customHeight="1">
      <x:c r="A37" s="174"/>
      <x:c r="B37" s="174"/>
      <x:c r="C37" s="174"/>
      <x:c r="D37" s="174"/>
      <x:c r="E37" s="174"/>
      <x:c r="F37" s="174"/>
      <x:c r="G37" s="174"/>
      <x:c r="H37" s="174"/>
      <x:c r="I37" s="174"/>
      <x:c r="J37" s="174"/>
      <x:c r="K37" s="174"/>
      <x:c r="L37" s="174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 ht="18" customHeight="1">
      <x:c r="A38" s="174"/>
      <x:c r="B38" s="174"/>
      <x:c r="C38" s="174"/>
      <x:c r="D38" s="174"/>
      <x:c r="E38" s="174"/>
      <x:c r="F38" s="174"/>
      <x:c r="G38" s="174"/>
      <x:c r="H38" s="174"/>
      <x:c r="I38" s="174"/>
      <x:c r="J38" s="174"/>
      <x:c r="K38" s="174"/>
      <x:c r="L38" s="174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 ht="18" customHeight="1">
      <x:c r="A39" s="174"/>
      <x:c r="B39" s="174"/>
      <x:c r="C39" s="174"/>
      <x:c r="D39" s="174"/>
      <x:c r="E39" s="174"/>
      <x:c r="F39" s="174"/>
      <x:c r="G39" s="174"/>
      <x:c r="H39" s="174"/>
      <x:c r="I39" s="174"/>
      <x:c r="J39" s="174"/>
      <x:c r="K39" s="174"/>
      <x:c r="L39" s="174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 ht="18" customHeight="1">
      <x:c r="A40" s="174"/>
      <x:c r="B40" s="174"/>
      <x:c r="C40" s="174"/>
      <x:c r="D40" s="174"/>
      <x:c r="E40" s="174"/>
      <x:c r="F40" s="174"/>
      <x:c r="G40" s="174"/>
      <x:c r="H40" s="174"/>
      <x:c r="I40" s="174"/>
      <x:c r="J40" s="174"/>
      <x:c r="K40" s="174"/>
      <x:c r="L40" s="174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  <x:row r="81">
      <x:c r="A81" s="118"/>
      <x:c r="B81" s="118"/>
      <x:c r="C81" s="118"/>
      <x:c r="D81" s="118"/>
      <x:c r="E81" s="118"/>
      <x:c r="F81" s="118"/>
      <x:c r="G81" s="118"/>
      <x:c r="H81" s="118"/>
      <x:c r="I81" s="118"/>
      <x:c r="J81" s="118"/>
      <x:c r="K81" s="118"/>
      <x:c r="L81" s="118"/>
      <x:c r="M81" s="118"/>
      <x:c r="N81" s="118"/>
      <x:c r="O81" s="118"/>
      <x:c r="P81" s="118"/>
      <x:c r="Q81" s="118"/>
      <x:c r="R81" s="118"/>
      <x:c r="S81" s="118"/>
      <x:c r="T81" s="118"/>
      <x:c r="U81" s="118"/>
      <x:c r="V81" s="118"/>
      <x:c r="W81" s="118"/>
      <x:c r="X81" s="118"/>
      <x:c r="Y81" s="118"/>
      <x:c r="Z81" s="118"/>
    </x:row>
    <x:row r="82">
      <x:c r="A82" s="118"/>
      <x:c r="B82" s="118"/>
      <x:c r="C82" s="118"/>
      <x:c r="D82" s="118"/>
      <x:c r="E82" s="118"/>
      <x:c r="F82" s="118"/>
      <x:c r="G82" s="118"/>
      <x:c r="H82" s="118"/>
      <x:c r="I82" s="118"/>
      <x:c r="J82" s="118"/>
      <x:c r="K82" s="118"/>
      <x:c r="L82" s="118"/>
      <x:c r="M82" s="118"/>
      <x:c r="N82" s="118"/>
      <x:c r="O82" s="118"/>
      <x:c r="P82" s="118"/>
      <x:c r="Q82" s="118"/>
      <x:c r="R82" s="118"/>
      <x:c r="S82" s="118"/>
      <x:c r="T82" s="118"/>
      <x:c r="U82" s="118"/>
      <x:c r="V82" s="118"/>
      <x:c r="W82" s="118"/>
      <x:c r="X82" s="118"/>
      <x:c r="Y82" s="118"/>
      <x:c r="Z82" s="118"/>
    </x:row>
    <x:row r="83">
      <x:c r="A83" s="118"/>
      <x:c r="B83" s="118"/>
      <x:c r="C83" s="118"/>
      <x:c r="D83" s="118"/>
      <x:c r="E83" s="118"/>
      <x:c r="F83" s="118"/>
      <x:c r="G83" s="118"/>
      <x:c r="H83" s="118"/>
      <x:c r="I83" s="118"/>
      <x:c r="J83" s="118"/>
      <x:c r="K83" s="118"/>
      <x:c r="L83" s="118"/>
      <x:c r="M83" s="118"/>
      <x:c r="N83" s="118"/>
      <x:c r="O83" s="118"/>
      <x:c r="P83" s="118"/>
      <x:c r="Q83" s="118"/>
      <x:c r="R83" s="118"/>
      <x:c r="S83" s="118"/>
      <x:c r="T83" s="118"/>
      <x:c r="U83" s="118"/>
      <x:c r="V83" s="118"/>
      <x:c r="W83" s="118"/>
      <x:c r="X83" s="118"/>
      <x:c r="Y83" s="118"/>
      <x:c r="Z83" s="118"/>
    </x:row>
    <x:row r="84">
      <x:c r="A84" s="118"/>
      <x:c r="B84" s="118"/>
      <x:c r="C84" s="118"/>
      <x:c r="D84" s="118"/>
      <x:c r="E84" s="118"/>
      <x:c r="F84" s="118"/>
      <x:c r="G84" s="118"/>
      <x:c r="H84" s="118"/>
      <x:c r="I84" s="118"/>
      <x:c r="J84" s="118"/>
      <x:c r="K84" s="118"/>
      <x:c r="L84" s="118"/>
      <x:c r="M84" s="118"/>
      <x:c r="N84" s="118"/>
      <x:c r="O84" s="118"/>
      <x:c r="P84" s="118"/>
      <x:c r="Q84" s="118"/>
      <x:c r="R84" s="118"/>
      <x:c r="S84" s="118"/>
      <x:c r="T84" s="118"/>
      <x:c r="U84" s="118"/>
      <x:c r="V84" s="118"/>
      <x:c r="W84" s="118"/>
      <x:c r="X84" s="118"/>
      <x:c r="Y84" s="118"/>
      <x:c r="Z84" s="118"/>
    </x:row>
    <x:row r="85">
      <x:c r="A85" s="118"/>
      <x:c r="B85" s="118"/>
      <x:c r="C85" s="118"/>
      <x:c r="D85" s="118"/>
      <x:c r="E85" s="118"/>
      <x:c r="F85" s="118"/>
      <x:c r="G85" s="118"/>
      <x:c r="H85" s="118"/>
      <x:c r="I85" s="118"/>
      <x:c r="J85" s="118"/>
      <x:c r="K85" s="118"/>
      <x:c r="L85" s="118"/>
      <x:c r="M85" s="118"/>
      <x:c r="N85" s="118"/>
      <x:c r="O85" s="118"/>
      <x:c r="P85" s="118"/>
      <x:c r="Q85" s="118"/>
      <x:c r="R85" s="118"/>
      <x:c r="S85" s="118"/>
      <x:c r="T85" s="118"/>
      <x:c r="U85" s="118"/>
      <x:c r="V85" s="118"/>
      <x:c r="W85" s="118"/>
      <x:c r="X85" s="118"/>
      <x:c r="Y85" s="118"/>
      <x:c r="Z85" s="118"/>
    </x:row>
    <x:row r="86">
      <x:c r="A86" s="118"/>
      <x:c r="B86" s="118"/>
      <x:c r="C86" s="118"/>
      <x:c r="D86" s="118"/>
      <x:c r="E86" s="118"/>
      <x:c r="F86" s="118"/>
      <x:c r="G86" s="118"/>
      <x:c r="H86" s="118"/>
      <x:c r="I86" s="118"/>
      <x:c r="J86" s="118"/>
      <x:c r="K86" s="118"/>
      <x:c r="L86" s="118"/>
      <x:c r="M86" s="118"/>
      <x:c r="N86" s="118"/>
      <x:c r="O86" s="118"/>
      <x:c r="P86" s="118"/>
      <x:c r="Q86" s="118"/>
      <x:c r="R86" s="118"/>
      <x:c r="S86" s="118"/>
      <x:c r="T86" s="118"/>
      <x:c r="U86" s="118"/>
      <x:c r="V86" s="118"/>
      <x:c r="W86" s="118"/>
      <x:c r="X86" s="118"/>
      <x:c r="Y86" s="118"/>
      <x:c r="Z86" s="118"/>
    </x:row>
    <x:row r="87">
      <x:c r="A87" s="118"/>
      <x:c r="B87" s="118"/>
      <x:c r="C87" s="118"/>
      <x:c r="D87" s="118"/>
      <x:c r="E87" s="118"/>
      <x:c r="F87" s="118"/>
      <x:c r="G87" s="118"/>
      <x:c r="H87" s="118"/>
      <x:c r="I87" s="118"/>
      <x:c r="J87" s="118"/>
      <x:c r="K87" s="118"/>
      <x:c r="L87" s="118"/>
      <x:c r="M87" s="118"/>
      <x:c r="N87" s="118"/>
      <x:c r="O87" s="118"/>
      <x:c r="P87" s="118"/>
      <x:c r="Q87" s="118"/>
      <x:c r="R87" s="118"/>
      <x:c r="S87" s="118"/>
      <x:c r="T87" s="118"/>
      <x:c r="U87" s="118"/>
      <x:c r="V87" s="118"/>
      <x:c r="W87" s="118"/>
      <x:c r="X87" s="118"/>
      <x:c r="Y87" s="118"/>
      <x:c r="Z87" s="118"/>
    </x:row>
    <x:row r="88">
      <x:c r="A88" s="118"/>
      <x:c r="B88" s="118"/>
      <x:c r="C88" s="118"/>
      <x:c r="D88" s="118"/>
      <x:c r="E88" s="118"/>
      <x:c r="F88" s="118"/>
      <x:c r="G88" s="118"/>
      <x:c r="H88" s="118"/>
      <x:c r="I88" s="118"/>
      <x:c r="J88" s="118"/>
      <x:c r="K88" s="118"/>
      <x:c r="L88" s="118"/>
      <x:c r="M88" s="118"/>
      <x:c r="N88" s="118"/>
      <x:c r="O88" s="118"/>
      <x:c r="P88" s="118"/>
      <x:c r="Q88" s="118"/>
      <x:c r="R88" s="118"/>
      <x:c r="S88" s="118"/>
      <x:c r="T88" s="118"/>
      <x:c r="U88" s="118"/>
      <x:c r="V88" s="118"/>
      <x:c r="W88" s="118"/>
      <x:c r="X88" s="118"/>
      <x:c r="Y88" s="118"/>
      <x:c r="Z88" s="118"/>
    </x:row>
    <x:row r="89">
      <x:c r="A89" s="118"/>
      <x:c r="B89" s="118"/>
      <x:c r="C89" s="118"/>
      <x:c r="D89" s="118"/>
      <x:c r="E89" s="118"/>
      <x:c r="F89" s="118"/>
      <x:c r="G89" s="118"/>
      <x:c r="H89" s="118"/>
      <x:c r="I89" s="118"/>
      <x:c r="J89" s="118"/>
      <x:c r="K89" s="118"/>
      <x:c r="L89" s="118"/>
      <x:c r="M89" s="118"/>
      <x:c r="N89" s="118"/>
      <x:c r="O89" s="118"/>
      <x:c r="P89" s="118"/>
      <x:c r="Q89" s="118"/>
      <x:c r="R89" s="118"/>
      <x:c r="S89" s="118"/>
      <x:c r="T89" s="118"/>
      <x:c r="U89" s="118"/>
      <x:c r="V89" s="118"/>
      <x:c r="W89" s="118"/>
      <x:c r="X89" s="118"/>
      <x:c r="Y89" s="118"/>
      <x:c r="Z89" s="118"/>
    </x:row>
    <x:row r="90">
      <x:c r="A90" s="118"/>
      <x:c r="B90" s="118"/>
      <x:c r="C90" s="118"/>
      <x:c r="D90" s="118"/>
      <x:c r="E90" s="118"/>
      <x:c r="F90" s="118"/>
      <x:c r="G90" s="118"/>
      <x:c r="H90" s="118"/>
      <x:c r="I90" s="118"/>
      <x:c r="J90" s="118"/>
      <x:c r="K90" s="118"/>
      <x:c r="L90" s="118"/>
      <x:c r="M90" s="118"/>
      <x:c r="N90" s="118"/>
      <x:c r="O90" s="118"/>
      <x:c r="P90" s="118"/>
      <x:c r="Q90" s="118"/>
      <x:c r="R90" s="118"/>
      <x:c r="S90" s="118"/>
      <x:c r="T90" s="118"/>
      <x:c r="U90" s="118"/>
      <x:c r="V90" s="118"/>
      <x:c r="W90" s="118"/>
      <x:c r="X90" s="118"/>
      <x:c r="Y90" s="118"/>
      <x:c r="Z90" s="118"/>
    </x:row>
    <x:row r="91">
      <x:c r="A91" s="118"/>
      <x:c r="B91" s="118"/>
      <x:c r="C91" s="118"/>
      <x:c r="D91" s="118"/>
      <x:c r="E91" s="118"/>
      <x:c r="F91" s="118"/>
      <x:c r="G91" s="118"/>
      <x:c r="H91" s="118"/>
      <x:c r="I91" s="118"/>
      <x:c r="J91" s="118"/>
      <x:c r="K91" s="118"/>
      <x:c r="L91" s="118"/>
      <x:c r="M91" s="118"/>
      <x:c r="N91" s="118"/>
      <x:c r="O91" s="118"/>
      <x:c r="P91" s="118"/>
      <x:c r="Q91" s="118"/>
      <x:c r="R91" s="118"/>
      <x:c r="S91" s="118"/>
      <x:c r="T91" s="118"/>
      <x:c r="U91" s="118"/>
      <x:c r="V91" s="118"/>
      <x:c r="W91" s="118"/>
      <x:c r="X91" s="118"/>
      <x:c r="Y91" s="118"/>
      <x:c r="Z91" s="118"/>
    </x:row>
    <x:row r="92">
      <x:c r="A92" s="118"/>
      <x:c r="B92" s="118"/>
      <x:c r="C92" s="118"/>
      <x:c r="D92" s="118"/>
      <x:c r="E92" s="118"/>
      <x:c r="F92" s="118"/>
      <x:c r="G92" s="118"/>
      <x:c r="H92" s="118"/>
      <x:c r="I92" s="118"/>
      <x:c r="J92" s="118"/>
      <x:c r="K92" s="118"/>
      <x:c r="L92" s="118"/>
      <x:c r="M92" s="118"/>
      <x:c r="N92" s="118"/>
      <x:c r="O92" s="118"/>
      <x:c r="P92" s="118"/>
      <x:c r="Q92" s="118"/>
      <x:c r="R92" s="118"/>
      <x:c r="S92" s="118"/>
      <x:c r="T92" s="118"/>
      <x:c r="U92" s="118"/>
      <x:c r="V92" s="118"/>
      <x:c r="W92" s="118"/>
      <x:c r="X92" s="118"/>
      <x:c r="Y92" s="118"/>
      <x:c r="Z92" s="118"/>
    </x:row>
    <x:row r="93">
      <x:c r="A93" s="118"/>
      <x:c r="B93" s="118"/>
      <x:c r="C93" s="118"/>
      <x:c r="D93" s="118"/>
      <x:c r="E93" s="118"/>
      <x:c r="F93" s="118"/>
      <x:c r="G93" s="118"/>
      <x:c r="H93" s="118"/>
      <x:c r="I93" s="118"/>
      <x:c r="J93" s="118"/>
      <x:c r="K93" s="118"/>
      <x:c r="L93" s="118"/>
      <x:c r="M93" s="118"/>
      <x:c r="N93" s="118"/>
      <x:c r="O93" s="118"/>
      <x:c r="P93" s="118"/>
      <x:c r="Q93" s="118"/>
      <x:c r="R93" s="118"/>
      <x:c r="S93" s="118"/>
      <x:c r="T93" s="118"/>
      <x:c r="U93" s="118"/>
      <x:c r="V93" s="118"/>
      <x:c r="W93" s="118"/>
      <x:c r="X93" s="118"/>
      <x:c r="Y93" s="118"/>
      <x:c r="Z93" s="118"/>
    </x:row>
    <x:row r="94">
      <x:c r="A94" s="118"/>
      <x:c r="B94" s="118"/>
      <x:c r="C94" s="118"/>
      <x:c r="D94" s="118"/>
      <x:c r="E94" s="118"/>
      <x:c r="F94" s="118"/>
      <x:c r="G94" s="118"/>
      <x:c r="H94" s="118"/>
      <x:c r="I94" s="118"/>
      <x:c r="J94" s="118"/>
      <x:c r="K94" s="118"/>
      <x:c r="L94" s="118"/>
      <x:c r="M94" s="118"/>
      <x:c r="N94" s="118"/>
      <x:c r="O94" s="118"/>
      <x:c r="P94" s="118"/>
      <x:c r="Q94" s="118"/>
      <x:c r="R94" s="118"/>
      <x:c r="S94" s="118"/>
      <x:c r="T94" s="118"/>
      <x:c r="U94" s="118"/>
      <x:c r="V94" s="118"/>
      <x:c r="W94" s="118"/>
      <x:c r="X94" s="118"/>
      <x:c r="Y94" s="118"/>
      <x:c r="Z94" s="118"/>
    </x:row>
    <x:row r="95">
      <x:c r="A95" s="118"/>
      <x:c r="B95" s="118"/>
      <x:c r="C95" s="118"/>
      <x:c r="D95" s="118"/>
      <x:c r="E95" s="118"/>
      <x:c r="F95" s="118"/>
      <x:c r="G95" s="118"/>
      <x:c r="H95" s="118"/>
      <x:c r="I95" s="118"/>
      <x:c r="J95" s="118"/>
      <x:c r="K95" s="118"/>
      <x:c r="L95" s="118"/>
      <x:c r="M95" s="118"/>
      <x:c r="N95" s="118"/>
      <x:c r="O95" s="118"/>
      <x:c r="P95" s="118"/>
      <x:c r="Q95" s="118"/>
      <x:c r="R95" s="118"/>
      <x:c r="S95" s="118"/>
      <x:c r="T95" s="118"/>
      <x:c r="U95" s="118"/>
      <x:c r="V95" s="118"/>
      <x:c r="W95" s="118"/>
      <x:c r="X95" s="118"/>
      <x:c r="Y95" s="118"/>
      <x:c r="Z95" s="118"/>
    </x:row>
    <x:row r="96">
      <x:c r="A96" s="118"/>
      <x:c r="B96" s="118"/>
      <x:c r="C96" s="118"/>
      <x:c r="D96" s="118"/>
      <x:c r="E96" s="118"/>
      <x:c r="F96" s="118"/>
      <x:c r="G96" s="118"/>
      <x:c r="H96" s="118"/>
      <x:c r="I96" s="118"/>
      <x:c r="J96" s="118"/>
      <x:c r="K96" s="118"/>
      <x:c r="L96" s="118"/>
      <x:c r="M96" s="118"/>
      <x:c r="N96" s="118"/>
      <x:c r="O96" s="118"/>
      <x:c r="P96" s="118"/>
      <x:c r="Q96" s="118"/>
      <x:c r="R96" s="118"/>
      <x:c r="S96" s="118"/>
      <x:c r="T96" s="118"/>
      <x:c r="U96" s="118"/>
      <x:c r="V96" s="118"/>
      <x:c r="W96" s="118"/>
      <x:c r="X96" s="118"/>
      <x:c r="Y96" s="118"/>
      <x:c r="Z96" s="118"/>
    </x:row>
    <x:row r="97">
      <x:c r="A97" s="118"/>
      <x:c r="B97" s="118"/>
      <x:c r="C97" s="118"/>
      <x:c r="D97" s="118"/>
      <x:c r="E97" s="118"/>
      <x:c r="F97" s="118"/>
      <x:c r="G97" s="118"/>
      <x:c r="H97" s="118"/>
      <x:c r="I97" s="118"/>
      <x:c r="J97" s="118"/>
      <x:c r="K97" s="118"/>
      <x:c r="L97" s="118"/>
      <x:c r="M97" s="118"/>
      <x:c r="N97" s="118"/>
      <x:c r="O97" s="118"/>
      <x:c r="P97" s="118"/>
      <x:c r="Q97" s="118"/>
      <x:c r="R97" s="118"/>
      <x:c r="S97" s="118"/>
      <x:c r="T97" s="118"/>
      <x:c r="U97" s="118"/>
      <x:c r="V97" s="118"/>
      <x:c r="W97" s="118"/>
      <x:c r="X97" s="118"/>
      <x:c r="Y97" s="118"/>
      <x:c r="Z97" s="118"/>
    </x:row>
    <x:row r="98">
      <x:c r="A98" s="118"/>
      <x:c r="B98" s="118"/>
      <x:c r="C98" s="118"/>
      <x:c r="D98" s="118"/>
      <x:c r="E98" s="118"/>
      <x:c r="F98" s="118"/>
      <x:c r="G98" s="118"/>
      <x:c r="H98" s="118"/>
      <x:c r="I98" s="118"/>
      <x:c r="J98" s="118"/>
      <x:c r="K98" s="118"/>
      <x:c r="L98" s="118"/>
      <x:c r="M98" s="118"/>
      <x:c r="N98" s="118"/>
      <x:c r="O98" s="118"/>
      <x:c r="P98" s="118"/>
      <x:c r="Q98" s="118"/>
      <x:c r="R98" s="118"/>
      <x:c r="S98" s="118"/>
      <x:c r="T98" s="118"/>
      <x:c r="U98" s="118"/>
      <x:c r="V98" s="118"/>
      <x:c r="W98" s="118"/>
      <x:c r="X98" s="118"/>
      <x:c r="Y98" s="118"/>
      <x:c r="Z98" s="118"/>
    </x:row>
    <x:row r="99">
      <x:c r="A99" s="118"/>
      <x:c r="B99" s="118"/>
      <x:c r="C99" s="118"/>
      <x:c r="D99" s="118"/>
      <x:c r="E99" s="118"/>
      <x:c r="F99" s="118"/>
      <x:c r="G99" s="118"/>
      <x:c r="H99" s="118"/>
      <x:c r="I99" s="118"/>
      <x:c r="J99" s="118"/>
      <x:c r="K99" s="118"/>
      <x:c r="L99" s="118"/>
      <x:c r="M99" s="118"/>
      <x:c r="N99" s="118"/>
      <x:c r="O99" s="118"/>
      <x:c r="P99" s="118"/>
      <x:c r="Q99" s="118"/>
      <x:c r="R99" s="118"/>
      <x:c r="S99" s="118"/>
      <x:c r="T99" s="118"/>
      <x:c r="U99" s="118"/>
      <x:c r="V99" s="118"/>
      <x:c r="W99" s="118"/>
      <x:c r="X99" s="118"/>
      <x:c r="Y99" s="118"/>
      <x:c r="Z99" s="118"/>
    </x:row>
    <x:row r="100">
      <x:c r="A100" s="118"/>
      <x:c r="B100" s="118"/>
      <x:c r="C100" s="118"/>
      <x:c r="D100" s="118"/>
      <x:c r="E100" s="118"/>
      <x:c r="F100" s="118"/>
      <x:c r="G100" s="118"/>
      <x:c r="H100" s="118"/>
      <x:c r="I100" s="118"/>
      <x:c r="J100" s="118"/>
      <x:c r="K100" s="118"/>
      <x:c r="L100" s="118"/>
      <x:c r="M100" s="118"/>
      <x:c r="N100" s="118"/>
      <x:c r="O100" s="118"/>
      <x:c r="P100" s="118"/>
      <x:c r="Q100" s="118"/>
      <x:c r="R100" s="118"/>
      <x:c r="S100" s="118"/>
      <x:c r="T100" s="118"/>
      <x:c r="U100" s="118"/>
      <x:c r="V100" s="118"/>
      <x:c r="W100" s="118"/>
      <x:c r="X100" s="118"/>
      <x:c r="Y100" s="118"/>
      <x:c r="Z100" s="118"/>
    </x:row>
  </x:sheetData>
  <x:mergeCells>
    <x:mergeCell ref="A5:C5"/>
    <x:mergeCell ref="A6:C7"/>
    <x:mergeCell ref="D5:F5"/>
    <x:mergeCell ref="D6:F7"/>
    <x:mergeCell ref="G5:I5"/>
    <x:mergeCell ref="G6:I7"/>
    <x:mergeCell ref="J5:L5"/>
    <x:mergeCell ref="J6:L7"/>
    <x:mergeCell ref="A8:C8"/>
    <x:mergeCell ref="A9:C10"/>
    <x:mergeCell ref="D8:F8"/>
    <x:mergeCell ref="D9:F10"/>
    <x:mergeCell ref="G8:I8"/>
    <x:mergeCell ref="G9:I10"/>
    <x:mergeCell ref="J8:L8"/>
    <x:mergeCell ref="J9:L10"/>
    <x:mergeCell ref="A1:L2"/>
    <x:mergeCell ref="A12:F13"/>
    <x:mergeCell ref="G12:L13"/>
    <x:mergeCell ref="A14:L14"/>
    <x:mergeCell ref="A3:L3"/>
  </x:mergeCells>
  <x:pageMargins left="0.7" right="0.7" top="0.75" bottom="0.75" header="0.3" footer="0.3"/>
  <x:drawing xmlns:r="http://schemas.openxmlformats.org/officeDocument/2006/relationships" r:id="R7c20dacbc72841b9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13" hidden="0" customWidth="1"/>
    <x:col min="5" max="5" width="18" hidden="0" customWidth="1"/>
    <x:col min="6" max="6" width="13" hidden="0" customWidth="1"/>
    <x:col min="7" max="7" width="14" hidden="0" customWidth="1"/>
    <x:col min="8" max="8" width="28" hidden="0" customWidth="1"/>
  </x:cols>
  <x:sheetData>
    <x:row r="1" ht="26" customHeight="1">
      <x:c r="A1" s="200" t="str">
        <x:v>Segment Analysis — Pricing Relativities</x:v>
      </x:c>
      <x:c r="B1" s="200"/>
      <x:c r="C1" s="200"/>
      <x:c r="D1" s="200"/>
      <x:c r="E1" s="200"/>
      <x:c r="F1" s="200"/>
      <x:c r="G1" s="200"/>
      <x:c r="H1" s="200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 ht="22" customHeight="1">
      <x:c r="A2" s="374" t="str">
        <x:v>One-factor portfolio benchmarks • Useful for explanation, not a substitute for the fitted multivariate GLM</x:v>
      </x:c>
      <x:c r="B2" s="374"/>
      <x:c r="C2" s="374"/>
      <x:c r="D2" s="374"/>
      <x:c r="E2" s="374"/>
      <x:c r="F2" s="374"/>
      <x:c r="G2" s="374"/>
      <x:c r="H2" s="374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375" t="str">
        <x:v>One-factor portfolio benchmarks • Useful for explanation, not a substitute for the fitted multivariate GLM</x:v>
      </x:c>
      <x:c r="B3" s="375"/>
      <x:c r="C3" s="375"/>
      <x:c r="D3" s="375"/>
      <x:c r="E3" s="375"/>
      <x:c r="F3" s="375"/>
      <x:c r="G3" s="375"/>
      <x:c r="H3" s="375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 ht="26" customHeight="1">
      <x:c r="A4" s="248" t="str">
        <x:v>Rating factor</x:v>
      </x:c>
      <x:c r="B4" s="248" t="str">
        <x:v>Lowest PP</x:v>
      </x:c>
      <x:c r="C4" s="248" t="str">
        <x:v>Lowest segment</x:v>
      </x:c>
      <x:c r="D4" s="248" t="str">
        <x:v>Highest PP</x:v>
      </x:c>
      <x:c r="E4" s="248" t="str">
        <x:v>Highest segment</x:v>
      </x:c>
      <x:c r="F4" s="248" t="str">
        <x:v>Range</x:v>
      </x:c>
      <x:c r="G4" s="248" t="str">
        <x:v>Max relativity</x:v>
      </x:c>
      <x:c r="H4" s="248" t="str">
        <x:v>Comment</x:v>
      </x:c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 ht="20" customHeight="1">
      <x:c r="A5" s="249" t="str">
        <x:v>Driver Age</x:v>
      </x:c>
      <x:c r="B5" s="250" t="n">
        <x:v>173.33</x:v>
      </x:c>
      <x:c r="C5" s="249" t="str">
        <x:v>56-65</x:v>
      </x:c>
      <x:c r="D5" s="250" t="n">
        <x:v>896.64</x:v>
      </x:c>
      <x:c r="E5" s="249" t="str">
        <x:v>18-25</x:v>
      </x:c>
      <x:c r="F5" s="250" t="n">
        <x:v>723.31</x:v>
      </x:c>
      <x:c r="G5" s="254" t="n">
        <x:v>3.93</x:v>
      </x:c>
      <x:c r="H5" s="249" t="str">
        <x:v>One-factor descriptive view</x:v>
      </x:c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 ht="20" customHeight="1">
      <x:c r="A6" s="181" t="str">
        <x:v>Bonus-Malus</x:v>
      </x:c>
      <x:c r="B6" s="252" t="n">
        <x:v>154.1</x:v>
      </x:c>
      <x:c r="C6" s="181" t="str">
        <x:v>&lt;=50</x:v>
      </x:c>
      <x:c r="D6" s="252" t="n">
        <x:v>765.88</x:v>
      </x:c>
      <x:c r="E6" s="181" t="str">
        <x:v>&gt;100</x:v>
      </x:c>
      <x:c r="F6" s="252" t="n">
        <x:v>611.78</x:v>
      </x:c>
      <x:c r="G6" s="255" t="n">
        <x:v>3.357</x:v>
      </x:c>
      <x:c r="H6" s="181" t="str">
        <x:v>One-factor descriptive view</x:v>
      </x:c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 ht="20" customHeight="1">
      <x:c r="A7" s="249" t="str">
        <x:v>Area</x:v>
      </x:c>
      <x:c r="B7" s="250" t="n">
        <x:v>187.97</x:v>
      </x:c>
      <x:c r="C7" s="249" t="str">
        <x:v>A</x:v>
      </x:c>
      <x:c r="D7" s="250" t="n">
        <x:v>297.75</x:v>
      </x:c>
      <x:c r="E7" s="249" t="str">
        <x:v>B</x:v>
      </x:c>
      <x:c r="F7" s="250" t="n">
        <x:v>109.78</x:v>
      </x:c>
      <x:c r="G7" s="254" t="n">
        <x:v>1.305</x:v>
      </x:c>
      <x:c r="H7" s="249" t="str">
        <x:v>One-factor descriptive view</x:v>
      </x:c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 ht="20" customHeight="1">
      <x:c r="A8" s="181" t="str">
        <x:v>Vehicle Age</x:v>
      </x:c>
      <x:c r="B8" s="252" t="n">
        <x:v>184.83</x:v>
      </x:c>
      <x:c r="C8" s="181" t="str">
        <x:v>3-5</x:v>
      </x:c>
      <x:c r="D8" s="252" t="n">
        <x:v>294.74</x:v>
      </x:c>
      <x:c r="E8" s="181" t="str">
        <x:v>0-2</x:v>
      </x:c>
      <x:c r="F8" s="252" t="n">
        <x:v>109.91</x:v>
      </x:c>
      <x:c r="G8" s="255" t="n">
        <x:v>1.292</x:v>
      </x:c>
      <x:c r="H8" s="181" t="str">
        <x:v>One-factor descriptive view</x:v>
      </x:c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 ht="20" customHeight="1">
      <x:c r="A9" s="249" t="str">
        <x:v>Fuel Type</x:v>
      </x:c>
      <x:c r="B9" s="250" t="n">
        <x:v>200.14</x:v>
      </x:c>
      <x:c r="C9" s="249" t="str">
        <x:v>Diesel</x:v>
      </x:c>
      <x:c r="D9" s="250" t="n">
        <x:v>257.56</x:v>
      </x:c>
      <x:c r="E9" s="249" t="str">
        <x:v>Regular</x:v>
      </x:c>
      <x:c r="F9" s="250" t="n">
        <x:v>57.420000000000016</x:v>
      </x:c>
      <x:c r="G9" s="254" t="n">
        <x:v>1.129</x:v>
      </x:c>
      <x:c r="H9" s="249" t="str">
        <x:v>One-factor descriptive view</x:v>
      </x:c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 ht="20" customHeight="1">
      <x:c r="A10" s="181" t="str">
        <x:v>Vehicle Power</x:v>
      </x:c>
      <x:c r="B10" s="252" t="n">
        <x:v>214.41</x:v>
      </x:c>
      <x:c r="C10" s="181" t="str">
        <x:v>4-6</x:v>
      </x:c>
      <x:c r="D10" s="252" t="n">
        <x:v>249.41</x:v>
      </x:c>
      <x:c r="E10" s="181" t="str">
        <x:v>7-9</x:v>
      </x:c>
      <x:c r="F10" s="252" t="n">
        <x:v>35</x:v>
      </x:c>
      <x:c r="G10" s="255" t="n">
        <x:v>1.093</x:v>
      </x:c>
      <x:c r="H10" s="181" t="str">
        <x:v>One-factor descriptive view</x:v>
      </x:c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71"/>
      <x:c r="B11" s="171"/>
      <x:c r="C11" s="171"/>
      <x:c r="D11" s="171"/>
      <x:c r="E11" s="171"/>
      <x:c r="F11" s="171"/>
      <x:c r="G11" s="171"/>
      <x:c r="H11" s="171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71"/>
      <x:c r="B12" s="171"/>
      <x:c r="C12" s="171"/>
      <x:c r="D12" s="171"/>
      <x:c r="E12" s="171"/>
      <x:c r="F12" s="171"/>
      <x:c r="G12" s="171"/>
      <x:c r="H12" s="171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 ht="20" customHeight="1">
      <x:c r="A13" s="206" t="str">
        <x:v>Bonus-Malus pricing view</x:v>
      </x:c>
      <x:c r="B13" s="206" t="str"/>
      <x:c r="C13" s="206" t="str"/>
      <x:c r="D13" s="206" t="str"/>
      <x:c r="E13" s="206" t="str"/>
      <x:c r="F13" s="206" t="str"/>
      <x:c r="G13" s="206" t="str"/>
      <x:c r="H13" s="206" t="str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 ht="26" customHeight="1">
      <x:c r="A14" s="248" t="str">
        <x:v>Band</x:v>
      </x:c>
      <x:c r="B14" s="248" t="str">
        <x:v>Policies</x:v>
      </x:c>
      <x:c r="C14" s="248" t="str">
        <x:v>Claims / 100</x:v>
      </x:c>
      <x:c r="D14" s="248" t="str">
        <x:v>Avg Severity</x:v>
      </x:c>
      <x:c r="E14" s="248" t="str">
        <x:v>Pure Premium</x:v>
      </x:c>
      <x:c r="F14" s="248" t="str">
        <x:v>Relativity</x:v>
      </x:c>
      <x:c r="G14" s="171"/>
      <x:c r="H14" s="171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249" t="str">
        <x:v>&lt;=50</x:v>
      </x:c>
      <x:c r="B15" s="256" t="n">
        <x:v>384156</x:v>
      </x:c>
      <x:c r="C15" s="260" t="n">
        <x:v>8.017</x:v>
      </x:c>
      <x:c r="D15" s="250" t="n">
        <x:v>1922.22</x:v>
      </x:c>
      <x:c r="E15" s="250" t="n">
        <x:v>154.1</x:v>
      </x:c>
      <x:c r="F15" s="254" t="n">
        <x:v>0.675</x:v>
      </x:c>
      <x:c r="G15" s="171"/>
      <x:c r="H15" s="171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81" t="str">
        <x:v>51-75</x:v>
      </x:c>
      <x:c r="B16" s="258" t="n">
        <x:v>175012</x:v>
      </x:c>
      <x:c r="C16" s="261" t="n">
        <x:v>11.327</x:v>
      </x:c>
      <x:c r="D16" s="252" t="n">
        <x:v>1997.27</x:v>
      </x:c>
      <x:c r="E16" s="252" t="n">
        <x:v>226.24</x:v>
      </x:c>
      <x:c r="F16" s="255" t="n">
        <x:v>0.992</x:v>
      </x:c>
      <x:c r="G16" s="171"/>
      <x:c r="H16" s="171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249" t="str">
        <x:v>76-100</x:v>
      </x:c>
      <x:c r="B17" s="256" t="n">
        <x:v>111051</x:v>
      </x:c>
      <x:c r="C17" s="260" t="n">
        <x:v>15.819</x:v>
      </x:c>
      <x:c r="D17" s="250" t="n">
        <x:v>3369.93</x:v>
      </x:c>
      <x:c r="E17" s="250" t="n">
        <x:v>533.08</x:v>
      </x:c>
      <x:c r="F17" s="254" t="n">
        <x:v>2.337</x:v>
      </x:c>
      <x:c r="G17" s="171"/>
      <x:c r="H17" s="171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81" t="str">
        <x:v>&gt;100</x:v>
      </x:c>
      <x:c r="B18" s="258" t="n">
        <x:v>7794</x:v>
      </x:c>
      <x:c r="C18" s="261" t="n">
        <x:v>37.577</x:v>
      </x:c>
      <x:c r="D18" s="252" t="n">
        <x:v>2038.16</x:v>
      </x:c>
      <x:c r="E18" s="252" t="n">
        <x:v>765.88</x:v>
      </x:c>
      <x:c r="F18" s="255" t="n">
        <x:v>3.357</x:v>
      </x:c>
      <x:c r="G18" s="171"/>
      <x:c r="H18" s="171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71"/>
      <x:c r="B19" s="171"/>
      <x:c r="C19" s="171"/>
      <x:c r="D19" s="171"/>
      <x:c r="E19" s="171"/>
      <x:c r="F19" s="171"/>
      <x:c r="G19" s="171"/>
      <x:c r="H19" s="171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71"/>
      <x:c r="B20" s="171"/>
      <x:c r="C20" s="171"/>
      <x:c r="D20" s="171"/>
      <x:c r="E20" s="171"/>
      <x:c r="F20" s="171"/>
      <x:c r="G20" s="171"/>
      <x:c r="H20" s="171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71"/>
      <x:c r="B21" s="171"/>
      <x:c r="C21" s="171"/>
      <x:c r="D21" s="171"/>
      <x:c r="E21" s="171"/>
      <x:c r="F21" s="171"/>
      <x:c r="G21" s="171"/>
      <x:c r="H21" s="171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71"/>
      <x:c r="B22" s="171"/>
      <x:c r="C22" s="171"/>
      <x:c r="D22" s="171"/>
      <x:c r="E22" s="171"/>
      <x:c r="F22" s="171"/>
      <x:c r="G22" s="171"/>
      <x:c r="H22" s="171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71"/>
      <x:c r="B23" s="171"/>
      <x:c r="C23" s="171"/>
      <x:c r="D23" s="171"/>
      <x:c r="E23" s="171"/>
      <x:c r="F23" s="171"/>
      <x:c r="G23" s="171"/>
      <x:c r="H23" s="171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71"/>
      <x:c r="B24" s="171"/>
      <x:c r="C24" s="171"/>
      <x:c r="D24" s="171"/>
      <x:c r="E24" s="171"/>
      <x:c r="F24" s="171"/>
      <x:c r="G24" s="171"/>
      <x:c r="H24" s="171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71"/>
      <x:c r="B25" s="171"/>
      <x:c r="C25" s="171"/>
      <x:c r="D25" s="171"/>
      <x:c r="E25" s="171"/>
      <x:c r="F25" s="171"/>
      <x:c r="G25" s="171"/>
      <x:c r="H25" s="171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71"/>
      <x:c r="B26" s="171"/>
      <x:c r="C26" s="171"/>
      <x:c r="D26" s="171"/>
      <x:c r="E26" s="171"/>
      <x:c r="F26" s="171"/>
      <x:c r="G26" s="171"/>
      <x:c r="H26" s="171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71"/>
      <x:c r="B27" s="171"/>
      <x:c r="C27" s="171"/>
      <x:c r="D27" s="171"/>
      <x:c r="E27" s="171"/>
      <x:c r="F27" s="171"/>
      <x:c r="G27" s="171"/>
      <x:c r="H27" s="171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71"/>
      <x:c r="B28" s="171"/>
      <x:c r="C28" s="171"/>
      <x:c r="D28" s="171"/>
      <x:c r="E28" s="171"/>
      <x:c r="F28" s="171"/>
      <x:c r="G28" s="171"/>
      <x:c r="H28" s="171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71"/>
      <x:c r="B29" s="171"/>
      <x:c r="C29" s="171"/>
      <x:c r="D29" s="171"/>
      <x:c r="E29" s="171"/>
      <x:c r="F29" s="171"/>
      <x:c r="G29" s="171"/>
      <x:c r="H29" s="171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71"/>
      <x:c r="B30" s="171"/>
      <x:c r="C30" s="171"/>
      <x:c r="D30" s="171"/>
      <x:c r="E30" s="171"/>
      <x:c r="F30" s="171"/>
      <x:c r="G30" s="171"/>
      <x:c r="H30" s="171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71"/>
      <x:c r="B31" s="171"/>
      <x:c r="C31" s="171"/>
      <x:c r="D31" s="171"/>
      <x:c r="E31" s="171"/>
      <x:c r="F31" s="171"/>
      <x:c r="G31" s="171"/>
      <x:c r="H31" s="171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71"/>
      <x:c r="B32" s="171"/>
      <x:c r="C32" s="171"/>
      <x:c r="D32" s="171"/>
      <x:c r="E32" s="171"/>
      <x:c r="F32" s="171"/>
      <x:c r="G32" s="171"/>
      <x:c r="H32" s="171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71"/>
      <x:c r="B33" s="171"/>
      <x:c r="C33" s="171"/>
      <x:c r="D33" s="171"/>
      <x:c r="E33" s="171"/>
      <x:c r="F33" s="171"/>
      <x:c r="G33" s="171"/>
      <x:c r="H33" s="171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71"/>
      <x:c r="B34" s="171"/>
      <x:c r="C34" s="171"/>
      <x:c r="D34" s="171"/>
      <x:c r="E34" s="171"/>
      <x:c r="F34" s="171"/>
      <x:c r="G34" s="171"/>
      <x:c r="H34" s="171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71"/>
      <x:c r="B35" s="171"/>
      <x:c r="C35" s="171"/>
      <x:c r="D35" s="171"/>
      <x:c r="E35" s="171"/>
      <x:c r="F35" s="171"/>
      <x:c r="G35" s="171"/>
      <x:c r="H35" s="171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71"/>
      <x:c r="B36" s="171"/>
      <x:c r="C36" s="171"/>
      <x:c r="D36" s="171"/>
      <x:c r="E36" s="171"/>
      <x:c r="F36" s="171"/>
      <x:c r="G36" s="171"/>
      <x:c r="H36" s="171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71"/>
      <x:c r="B37" s="171"/>
      <x:c r="C37" s="171"/>
      <x:c r="D37" s="171"/>
      <x:c r="E37" s="171"/>
      <x:c r="F37" s="171"/>
      <x:c r="G37" s="171"/>
      <x:c r="H37" s="171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71"/>
      <x:c r="B38" s="171"/>
      <x:c r="C38" s="171"/>
      <x:c r="D38" s="171"/>
      <x:c r="E38" s="171"/>
      <x:c r="F38" s="171"/>
      <x:c r="G38" s="171"/>
      <x:c r="H38" s="171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  <x:row r="81">
      <x:c r="A81" s="118"/>
      <x:c r="B81" s="118"/>
      <x:c r="C81" s="118"/>
      <x:c r="D81" s="118"/>
      <x:c r="E81" s="118"/>
      <x:c r="F81" s="118"/>
      <x:c r="G81" s="118"/>
      <x:c r="H81" s="118"/>
      <x:c r="I81" s="118"/>
      <x:c r="J81" s="118"/>
      <x:c r="K81" s="118"/>
      <x:c r="L81" s="118"/>
      <x:c r="M81" s="118"/>
      <x:c r="N81" s="118"/>
      <x:c r="O81" s="118"/>
      <x:c r="P81" s="118"/>
      <x:c r="Q81" s="118"/>
      <x:c r="R81" s="118"/>
      <x:c r="S81" s="118"/>
      <x:c r="T81" s="118"/>
      <x:c r="U81" s="118"/>
      <x:c r="V81" s="118"/>
      <x:c r="W81" s="118"/>
      <x:c r="X81" s="118"/>
      <x:c r="Y81" s="118"/>
      <x:c r="Z81" s="118"/>
    </x:row>
    <x:row r="82">
      <x:c r="A82" s="118"/>
      <x:c r="B82" s="118"/>
      <x:c r="C82" s="118"/>
      <x:c r="D82" s="118"/>
      <x:c r="E82" s="118"/>
      <x:c r="F82" s="118"/>
      <x:c r="G82" s="118"/>
      <x:c r="H82" s="118"/>
      <x:c r="I82" s="118"/>
      <x:c r="J82" s="118"/>
      <x:c r="K82" s="118"/>
      <x:c r="L82" s="118"/>
      <x:c r="M82" s="118"/>
      <x:c r="N82" s="118"/>
      <x:c r="O82" s="118"/>
      <x:c r="P82" s="118"/>
      <x:c r="Q82" s="118"/>
      <x:c r="R82" s="118"/>
      <x:c r="S82" s="118"/>
      <x:c r="T82" s="118"/>
      <x:c r="U82" s="118"/>
      <x:c r="V82" s="118"/>
      <x:c r="W82" s="118"/>
      <x:c r="X82" s="118"/>
      <x:c r="Y82" s="118"/>
      <x:c r="Z82" s="118"/>
    </x:row>
    <x:row r="83">
      <x:c r="A83" s="118"/>
      <x:c r="B83" s="118"/>
      <x:c r="C83" s="118"/>
      <x:c r="D83" s="118"/>
      <x:c r="E83" s="118"/>
      <x:c r="F83" s="118"/>
      <x:c r="G83" s="118"/>
      <x:c r="H83" s="118"/>
      <x:c r="I83" s="118"/>
      <x:c r="J83" s="118"/>
      <x:c r="K83" s="118"/>
      <x:c r="L83" s="118"/>
      <x:c r="M83" s="118"/>
      <x:c r="N83" s="118"/>
      <x:c r="O83" s="118"/>
      <x:c r="P83" s="118"/>
      <x:c r="Q83" s="118"/>
      <x:c r="R83" s="118"/>
      <x:c r="S83" s="118"/>
      <x:c r="T83" s="118"/>
      <x:c r="U83" s="118"/>
      <x:c r="V83" s="118"/>
      <x:c r="W83" s="118"/>
      <x:c r="X83" s="118"/>
      <x:c r="Y83" s="118"/>
      <x:c r="Z83" s="118"/>
    </x:row>
    <x:row r="84">
      <x:c r="A84" s="118"/>
      <x:c r="B84" s="118"/>
      <x:c r="C84" s="118"/>
      <x:c r="D84" s="118"/>
      <x:c r="E84" s="118"/>
      <x:c r="F84" s="118"/>
      <x:c r="G84" s="118"/>
      <x:c r="H84" s="118"/>
      <x:c r="I84" s="118"/>
      <x:c r="J84" s="118"/>
      <x:c r="K84" s="118"/>
      <x:c r="L84" s="118"/>
      <x:c r="M84" s="118"/>
      <x:c r="N84" s="118"/>
      <x:c r="O84" s="118"/>
      <x:c r="P84" s="118"/>
      <x:c r="Q84" s="118"/>
      <x:c r="R84" s="118"/>
      <x:c r="S84" s="118"/>
      <x:c r="T84" s="118"/>
      <x:c r="U84" s="118"/>
      <x:c r="V84" s="118"/>
      <x:c r="W84" s="118"/>
      <x:c r="X84" s="118"/>
      <x:c r="Y84" s="118"/>
      <x:c r="Z84" s="118"/>
    </x:row>
    <x:row r="85">
      <x:c r="A85" s="118"/>
      <x:c r="B85" s="118"/>
      <x:c r="C85" s="118"/>
      <x:c r="D85" s="118"/>
      <x:c r="E85" s="118"/>
      <x:c r="F85" s="118"/>
      <x:c r="G85" s="118"/>
      <x:c r="H85" s="118"/>
      <x:c r="I85" s="118"/>
      <x:c r="J85" s="118"/>
      <x:c r="K85" s="118"/>
      <x:c r="L85" s="118"/>
      <x:c r="M85" s="118"/>
      <x:c r="N85" s="118"/>
      <x:c r="O85" s="118"/>
      <x:c r="P85" s="118"/>
      <x:c r="Q85" s="118"/>
      <x:c r="R85" s="118"/>
      <x:c r="S85" s="118"/>
      <x:c r="T85" s="118"/>
      <x:c r="U85" s="118"/>
      <x:c r="V85" s="118"/>
      <x:c r="W85" s="118"/>
      <x:c r="X85" s="118"/>
      <x:c r="Y85" s="118"/>
      <x:c r="Z85" s="118"/>
    </x:row>
    <x:row r="86">
      <x:c r="A86" s="118"/>
      <x:c r="B86" s="118"/>
      <x:c r="C86" s="118"/>
      <x:c r="D86" s="118"/>
      <x:c r="E86" s="118"/>
      <x:c r="F86" s="118"/>
      <x:c r="G86" s="118"/>
      <x:c r="H86" s="118"/>
      <x:c r="I86" s="118"/>
      <x:c r="J86" s="118"/>
      <x:c r="K86" s="118"/>
      <x:c r="L86" s="118"/>
      <x:c r="M86" s="118"/>
      <x:c r="N86" s="118"/>
      <x:c r="O86" s="118"/>
      <x:c r="P86" s="118"/>
      <x:c r="Q86" s="118"/>
      <x:c r="R86" s="118"/>
      <x:c r="S86" s="118"/>
      <x:c r="T86" s="118"/>
      <x:c r="U86" s="118"/>
      <x:c r="V86" s="118"/>
      <x:c r="W86" s="118"/>
      <x:c r="X86" s="118"/>
      <x:c r="Y86" s="118"/>
      <x:c r="Z86" s="118"/>
    </x:row>
    <x:row r="87">
      <x:c r="A87" s="118"/>
      <x:c r="B87" s="118"/>
      <x:c r="C87" s="118"/>
      <x:c r="D87" s="118"/>
      <x:c r="E87" s="118"/>
      <x:c r="F87" s="118"/>
      <x:c r="G87" s="118"/>
      <x:c r="H87" s="118"/>
      <x:c r="I87" s="118"/>
      <x:c r="J87" s="118"/>
      <x:c r="K87" s="118"/>
      <x:c r="L87" s="118"/>
      <x:c r="M87" s="118"/>
      <x:c r="N87" s="118"/>
      <x:c r="O87" s="118"/>
      <x:c r="P87" s="118"/>
      <x:c r="Q87" s="118"/>
      <x:c r="R87" s="118"/>
      <x:c r="S87" s="118"/>
      <x:c r="T87" s="118"/>
      <x:c r="U87" s="118"/>
      <x:c r="V87" s="118"/>
      <x:c r="W87" s="118"/>
      <x:c r="X87" s="118"/>
      <x:c r="Y87" s="118"/>
      <x:c r="Z87" s="118"/>
    </x:row>
    <x:row r="88">
      <x:c r="A88" s="118"/>
      <x:c r="B88" s="118"/>
      <x:c r="C88" s="118"/>
      <x:c r="D88" s="118"/>
      <x:c r="E88" s="118"/>
      <x:c r="F88" s="118"/>
      <x:c r="G88" s="118"/>
      <x:c r="H88" s="118"/>
      <x:c r="I88" s="118"/>
      <x:c r="J88" s="118"/>
      <x:c r="K88" s="118"/>
      <x:c r="L88" s="118"/>
      <x:c r="M88" s="118"/>
      <x:c r="N88" s="118"/>
      <x:c r="O88" s="118"/>
      <x:c r="P88" s="118"/>
      <x:c r="Q88" s="118"/>
      <x:c r="R88" s="118"/>
      <x:c r="S88" s="118"/>
      <x:c r="T88" s="118"/>
      <x:c r="U88" s="118"/>
      <x:c r="V88" s="118"/>
      <x:c r="W88" s="118"/>
      <x:c r="X88" s="118"/>
      <x:c r="Y88" s="118"/>
      <x:c r="Z88" s="118"/>
    </x:row>
    <x:row r="89">
      <x:c r="A89" s="118"/>
      <x:c r="B89" s="118"/>
      <x:c r="C89" s="118"/>
      <x:c r="D89" s="118"/>
      <x:c r="E89" s="118"/>
      <x:c r="F89" s="118"/>
      <x:c r="G89" s="118"/>
      <x:c r="H89" s="118"/>
      <x:c r="I89" s="118"/>
      <x:c r="J89" s="118"/>
      <x:c r="K89" s="118"/>
      <x:c r="L89" s="118"/>
      <x:c r="M89" s="118"/>
      <x:c r="N89" s="118"/>
      <x:c r="O89" s="118"/>
      <x:c r="P89" s="118"/>
      <x:c r="Q89" s="118"/>
      <x:c r="R89" s="118"/>
      <x:c r="S89" s="118"/>
      <x:c r="T89" s="118"/>
      <x:c r="U89" s="118"/>
      <x:c r="V89" s="118"/>
      <x:c r="W89" s="118"/>
      <x:c r="X89" s="118"/>
      <x:c r="Y89" s="118"/>
      <x:c r="Z89" s="118"/>
    </x:row>
    <x:row r="90">
      <x:c r="A90" s="118"/>
      <x:c r="B90" s="118"/>
      <x:c r="C90" s="118"/>
      <x:c r="D90" s="118"/>
      <x:c r="E90" s="118"/>
      <x:c r="F90" s="118"/>
      <x:c r="G90" s="118"/>
      <x:c r="H90" s="118"/>
      <x:c r="I90" s="118"/>
      <x:c r="J90" s="118"/>
      <x:c r="K90" s="118"/>
      <x:c r="L90" s="118"/>
      <x:c r="M90" s="118"/>
      <x:c r="N90" s="118"/>
      <x:c r="O90" s="118"/>
      <x:c r="P90" s="118"/>
      <x:c r="Q90" s="118"/>
      <x:c r="R90" s="118"/>
      <x:c r="S90" s="118"/>
      <x:c r="T90" s="118"/>
      <x:c r="U90" s="118"/>
      <x:c r="V90" s="118"/>
      <x:c r="W90" s="118"/>
      <x:c r="X90" s="118"/>
      <x:c r="Y90" s="118"/>
      <x:c r="Z90" s="118"/>
    </x:row>
    <x:row r="91">
      <x:c r="A91" s="118"/>
      <x:c r="B91" s="118"/>
      <x:c r="C91" s="118"/>
      <x:c r="D91" s="118"/>
      <x:c r="E91" s="118"/>
      <x:c r="F91" s="118"/>
      <x:c r="G91" s="118"/>
      <x:c r="H91" s="118"/>
      <x:c r="I91" s="118"/>
      <x:c r="J91" s="118"/>
      <x:c r="K91" s="118"/>
      <x:c r="L91" s="118"/>
      <x:c r="M91" s="118"/>
      <x:c r="N91" s="118"/>
      <x:c r="O91" s="118"/>
      <x:c r="P91" s="118"/>
      <x:c r="Q91" s="118"/>
      <x:c r="R91" s="118"/>
      <x:c r="S91" s="118"/>
      <x:c r="T91" s="118"/>
      <x:c r="U91" s="118"/>
      <x:c r="V91" s="118"/>
      <x:c r="W91" s="118"/>
      <x:c r="X91" s="118"/>
      <x:c r="Y91" s="118"/>
      <x:c r="Z91" s="118"/>
    </x:row>
    <x:row r="92">
      <x:c r="A92" s="118"/>
      <x:c r="B92" s="118"/>
      <x:c r="C92" s="118"/>
      <x:c r="D92" s="118"/>
      <x:c r="E92" s="118"/>
      <x:c r="F92" s="118"/>
      <x:c r="G92" s="118"/>
      <x:c r="H92" s="118"/>
      <x:c r="I92" s="118"/>
      <x:c r="J92" s="118"/>
      <x:c r="K92" s="118"/>
      <x:c r="L92" s="118"/>
      <x:c r="M92" s="118"/>
      <x:c r="N92" s="118"/>
      <x:c r="O92" s="118"/>
      <x:c r="P92" s="118"/>
      <x:c r="Q92" s="118"/>
      <x:c r="R92" s="118"/>
      <x:c r="S92" s="118"/>
      <x:c r="T92" s="118"/>
      <x:c r="U92" s="118"/>
      <x:c r="V92" s="118"/>
      <x:c r="W92" s="118"/>
      <x:c r="X92" s="118"/>
      <x:c r="Y92" s="118"/>
      <x:c r="Z92" s="118"/>
    </x:row>
    <x:row r="93">
      <x:c r="A93" s="118"/>
      <x:c r="B93" s="118"/>
      <x:c r="C93" s="118"/>
      <x:c r="D93" s="118"/>
      <x:c r="E93" s="118"/>
      <x:c r="F93" s="118"/>
      <x:c r="G93" s="118"/>
      <x:c r="H93" s="118"/>
      <x:c r="I93" s="118"/>
      <x:c r="J93" s="118"/>
      <x:c r="K93" s="118"/>
      <x:c r="L93" s="118"/>
      <x:c r="M93" s="118"/>
      <x:c r="N93" s="118"/>
      <x:c r="O93" s="118"/>
      <x:c r="P93" s="118"/>
      <x:c r="Q93" s="118"/>
      <x:c r="R93" s="118"/>
      <x:c r="S93" s="118"/>
      <x:c r="T93" s="118"/>
      <x:c r="U93" s="118"/>
      <x:c r="V93" s="118"/>
      <x:c r="W93" s="118"/>
      <x:c r="X93" s="118"/>
      <x:c r="Y93" s="118"/>
      <x:c r="Z93" s="118"/>
    </x:row>
    <x:row r="94">
      <x:c r="A94" s="118"/>
      <x:c r="B94" s="118"/>
      <x:c r="C94" s="118"/>
      <x:c r="D94" s="118"/>
      <x:c r="E94" s="118"/>
      <x:c r="F94" s="118"/>
      <x:c r="G94" s="118"/>
      <x:c r="H94" s="118"/>
      <x:c r="I94" s="118"/>
      <x:c r="J94" s="118"/>
      <x:c r="K94" s="118"/>
      <x:c r="L94" s="118"/>
      <x:c r="M94" s="118"/>
      <x:c r="N94" s="118"/>
      <x:c r="O94" s="118"/>
      <x:c r="P94" s="118"/>
      <x:c r="Q94" s="118"/>
      <x:c r="R94" s="118"/>
      <x:c r="S94" s="118"/>
      <x:c r="T94" s="118"/>
      <x:c r="U94" s="118"/>
      <x:c r="V94" s="118"/>
      <x:c r="W94" s="118"/>
      <x:c r="X94" s="118"/>
      <x:c r="Y94" s="118"/>
      <x:c r="Z94" s="118"/>
    </x:row>
    <x:row r="95">
      <x:c r="A95" s="118"/>
      <x:c r="B95" s="118"/>
      <x:c r="C95" s="118"/>
      <x:c r="D95" s="118"/>
      <x:c r="E95" s="118"/>
      <x:c r="F95" s="118"/>
      <x:c r="G95" s="118"/>
      <x:c r="H95" s="118"/>
      <x:c r="I95" s="118"/>
      <x:c r="J95" s="118"/>
      <x:c r="K95" s="118"/>
      <x:c r="L95" s="118"/>
      <x:c r="M95" s="118"/>
      <x:c r="N95" s="118"/>
      <x:c r="O95" s="118"/>
      <x:c r="P95" s="118"/>
      <x:c r="Q95" s="118"/>
      <x:c r="R95" s="118"/>
      <x:c r="S95" s="118"/>
      <x:c r="T95" s="118"/>
      <x:c r="U95" s="118"/>
      <x:c r="V95" s="118"/>
      <x:c r="W95" s="118"/>
      <x:c r="X95" s="118"/>
      <x:c r="Y95" s="118"/>
      <x:c r="Z95" s="118"/>
    </x:row>
    <x:row r="96">
      <x:c r="A96" s="118"/>
      <x:c r="B96" s="118"/>
      <x:c r="C96" s="118"/>
      <x:c r="D96" s="118"/>
      <x:c r="E96" s="118"/>
      <x:c r="F96" s="118"/>
      <x:c r="G96" s="118"/>
      <x:c r="H96" s="118"/>
      <x:c r="I96" s="118"/>
      <x:c r="J96" s="118"/>
      <x:c r="K96" s="118"/>
      <x:c r="L96" s="118"/>
      <x:c r="M96" s="118"/>
      <x:c r="N96" s="118"/>
      <x:c r="O96" s="118"/>
      <x:c r="P96" s="118"/>
      <x:c r="Q96" s="118"/>
      <x:c r="R96" s="118"/>
      <x:c r="S96" s="118"/>
      <x:c r="T96" s="118"/>
      <x:c r="U96" s="118"/>
      <x:c r="V96" s="118"/>
      <x:c r="W96" s="118"/>
      <x:c r="X96" s="118"/>
      <x:c r="Y96" s="118"/>
      <x:c r="Z96" s="118"/>
    </x:row>
    <x:row r="97">
      <x:c r="A97" s="118"/>
      <x:c r="B97" s="118"/>
      <x:c r="C97" s="118"/>
      <x:c r="D97" s="118"/>
      <x:c r="E97" s="118"/>
      <x:c r="F97" s="118"/>
      <x:c r="G97" s="118"/>
      <x:c r="H97" s="118"/>
      <x:c r="I97" s="118"/>
      <x:c r="J97" s="118"/>
      <x:c r="K97" s="118"/>
      <x:c r="L97" s="118"/>
      <x:c r="M97" s="118"/>
      <x:c r="N97" s="118"/>
      <x:c r="O97" s="118"/>
      <x:c r="P97" s="118"/>
      <x:c r="Q97" s="118"/>
      <x:c r="R97" s="118"/>
      <x:c r="S97" s="118"/>
      <x:c r="T97" s="118"/>
      <x:c r="U97" s="118"/>
      <x:c r="V97" s="118"/>
      <x:c r="W97" s="118"/>
      <x:c r="X97" s="118"/>
      <x:c r="Y97" s="118"/>
      <x:c r="Z97" s="118"/>
    </x:row>
    <x:row r="98">
      <x:c r="A98" s="118"/>
      <x:c r="B98" s="118"/>
      <x:c r="C98" s="118"/>
      <x:c r="D98" s="118"/>
      <x:c r="E98" s="118"/>
      <x:c r="F98" s="118"/>
      <x:c r="G98" s="118"/>
      <x:c r="H98" s="118"/>
      <x:c r="I98" s="118"/>
      <x:c r="J98" s="118"/>
      <x:c r="K98" s="118"/>
      <x:c r="L98" s="118"/>
      <x:c r="M98" s="118"/>
      <x:c r="N98" s="118"/>
      <x:c r="O98" s="118"/>
      <x:c r="P98" s="118"/>
      <x:c r="Q98" s="118"/>
      <x:c r="R98" s="118"/>
      <x:c r="S98" s="118"/>
      <x:c r="T98" s="118"/>
      <x:c r="U98" s="118"/>
      <x:c r="V98" s="118"/>
      <x:c r="W98" s="118"/>
      <x:c r="X98" s="118"/>
      <x:c r="Y98" s="118"/>
      <x:c r="Z98" s="118"/>
    </x:row>
    <x:row r="99">
      <x:c r="A99" s="118"/>
      <x:c r="B99" s="118"/>
      <x:c r="C99" s="118"/>
      <x:c r="D99" s="118"/>
      <x:c r="E99" s="118"/>
      <x:c r="F99" s="118"/>
      <x:c r="G99" s="118"/>
      <x:c r="H99" s="118"/>
      <x:c r="I99" s="118"/>
      <x:c r="J99" s="118"/>
      <x:c r="K99" s="118"/>
      <x:c r="L99" s="118"/>
      <x:c r="M99" s="118"/>
      <x:c r="N99" s="118"/>
      <x:c r="O99" s="118"/>
      <x:c r="P99" s="118"/>
      <x:c r="Q99" s="118"/>
      <x:c r="R99" s="118"/>
      <x:c r="S99" s="118"/>
      <x:c r="T99" s="118"/>
      <x:c r="U99" s="118"/>
      <x:c r="V99" s="118"/>
      <x:c r="W99" s="118"/>
      <x:c r="X99" s="118"/>
      <x:c r="Y99" s="118"/>
      <x:c r="Z99" s="118"/>
    </x:row>
    <x:row r="100">
      <x:c r="A100" s="118"/>
      <x:c r="B100" s="118"/>
      <x:c r="C100" s="118"/>
      <x:c r="D100" s="118"/>
      <x:c r="E100" s="118"/>
      <x:c r="F100" s="118"/>
      <x:c r="G100" s="118"/>
      <x:c r="H100" s="118"/>
      <x:c r="I100" s="118"/>
      <x:c r="J100" s="118"/>
      <x:c r="K100" s="118"/>
      <x:c r="L100" s="118"/>
      <x:c r="M100" s="118"/>
      <x:c r="N100" s="118"/>
      <x:c r="O100" s="118"/>
      <x:c r="P100" s="118"/>
      <x:c r="Q100" s="118"/>
      <x:c r="R100" s="118"/>
      <x:c r="S100" s="118"/>
      <x:c r="T100" s="118"/>
      <x:c r="U100" s="118"/>
      <x:c r="V100" s="118"/>
      <x:c r="W100" s="118"/>
      <x:c r="X100" s="118"/>
      <x:c r="Y100" s="118"/>
      <x:c r="Z100" s="118"/>
    </x:row>
  </x:sheetData>
  <x:mergeCells>
    <x:mergeCell ref="A1:H2"/>
    <x:mergeCell ref="A3:H3"/>
  </x:mergeCells>
  <x:conditionalFormatting sqref="G5:G10">
    <x:cfRule type="dataBar" priority="1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{49A316E1-C997-E84B-3EFE-019C5090A5D6}</x14:id>
        </x:ext>
      </x:extLst>
    </x:cfRule>
  </x:conditionalFormatting>
  <x:conditionalFormatting sqref="F15:F18">
    <x:cfRule type="dataBar" priority="2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{D724C494-1711-11CF-E87E-44B80D901D46}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5de549f9387492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A316E1-C997-E84B-3EFE-019C5090A5D6}">
            <x14:dataBar gradient="1">
              <x14:cfvo type="min"/>
              <x14:cfvo type="max"/>
              <x14:fillColor rgb="FF2B7A78"/>
            </x14:dataBar>
          </x14:cfRule>
          <xm:sqref>G5:G10</xm:sqref>
        </x14:conditionalFormatting>
        <x14:conditionalFormatting>
          <x14:cfRule type="dataBar" priority="2" id="{D724C494-1711-11CF-E87E-44B80D901D46}">
            <x14:dataBar gradient="1">
              <x14:cfvo type="min"/>
              <x14:cfvo type="max"/>
              <x14:fillColor rgb="FFD6A84B"/>
            </x14:dataBar>
          </x14:cfRule>
          <xm:sqref>F15:F18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4" hidden="0" customWidth="1"/>
    <x:col min="5" max="5" width="22" hidden="0" customWidth="1"/>
  </x:cols>
  <x:sheetData>
    <x:row r="1" ht="26" customHeight="1">
      <x:c r="A1" s="376" t="str">
        <x:v>Illustrative Portfolio Pricing Calculator</x:v>
      </x:c>
      <x:c r="B1" s="376"/>
      <x:c r="C1" s="376"/>
      <x:c r="D1" s="376"/>
      <x:c r="E1" s="376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 ht="22" customHeight="1">
      <x:c r="A2" s="374" t="str">
        <x:v>Scenario tool using one-factor portfolio relativities and commercial loading assumptions</x:v>
      </x:c>
      <x:c r="B2" s="374"/>
      <x:c r="C2" s="374"/>
      <x:c r="D2" s="374"/>
      <x:c r="E2" s="374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275" t="str">
        <x:v>Select a risk profile. Relativities are one-factor portfolio benchmarks, not fitted GLM coefficients.</x:v>
      </x:c>
      <x:c r="B3" s="275"/>
      <x:c r="C3" s="275"/>
      <x:c r="D3" s="275"/>
      <x:c r="E3" s="275"/>
      <x:c r="F3" s="118"/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74"/>
      <x:c r="B4" s="174"/>
      <x:c r="C4" s="174"/>
      <x:c r="D4" s="174"/>
      <x:c r="E4" s="174"/>
      <x:c r="F4" s="118"/>
      <x:c r="G4" s="118"/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 ht="26" customHeight="1">
      <x:c r="A5" s="248" t="str">
        <x:v>Rating factor</x:v>
      </x:c>
      <x:c r="B5" s="248" t="str">
        <x:v>Selected segment</x:v>
      </x:c>
      <x:c r="C5" s="248" t="str">
        <x:v>Relativity</x:v>
      </x:c>
      <x:c r="D5" s="248" t="str">
        <x:v>Weight</x:v>
      </x:c>
      <x:c r="E5" s="248" t="str">
        <x:v>Weighted contribution</x:v>
      </x:c>
      <x:c r="F5" s="118"/>
      <x:c r="G5" s="118"/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276" t="str">
        <x:v>Driver age</x:v>
      </x:c>
      <x:c r="B6" s="282" t="str">
        <x:v>36-45</x:v>
      </x:c>
      <x:c r="C6" s="289" t="n">
        <x:f>VLOOKUP(B6,'Data Tables'!$A$6:$L$11,12,FALSE)</x:f>
        <x:v>0.805</x:v>
      </x:c>
      <x:c r="D6" s="285" t="n">
        <x:f>Assumptions!B12</x:f>
        <x:v>0.2</x:v>
      </x:c>
      <x:c r="E6" s="291" t="n">
        <x:f>C6*D6</x:f>
        <x:v>0.16100000000000003</x:v>
      </x:c>
      <x:c r="F6" s="118"/>
      <x:c r="G6" s="118"/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228" t="str">
        <x:v>Bonus-Malus</x:v>
      </x:c>
      <x:c r="B7" s="282" t="str">
        <x:v>&lt;=50</x:v>
      </x:c>
      <x:c r="C7" s="290" t="n">
        <x:f>VLOOKUP(B7,'Data Tables'!$A$16:$L$19,12,FALSE)</x:f>
        <x:v>0.675</x:v>
      </x:c>
      <x:c r="D7" s="286" t="n">
        <x:f>Assumptions!B13</x:f>
        <x:v>0.25</x:v>
      </x:c>
      <x:c r="E7" s="292" t="n">
        <x:f>C7*D7</x:f>
        <x:v>0.16875</x:v>
      </x:c>
      <x:c r="F7" s="118"/>
      <x:c r="G7" s="118"/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276" t="str">
        <x:v>Area</x:v>
      </x:c>
      <x:c r="B8" s="282" t="str">
        <x:v>C</x:v>
      </x:c>
      <x:c r="C8" s="289" t="n">
        <x:f>VLOOKUP(B8,'Data Tables'!$A$24:$L$29,12,FALSE)</x:f>
        <x:v>0.854</x:v>
      </x:c>
      <x:c r="D8" s="285" t="n">
        <x:f>Assumptions!B14</x:f>
        <x:v>0.15</x:v>
      </x:c>
      <x:c r="E8" s="291" t="n">
        <x:f>C8*D8</x:f>
        <x:v>0.1281</x:v>
      </x:c>
      <x:c r="F8" s="118"/>
      <x:c r="G8" s="118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228" t="str">
        <x:v>Vehicle age</x:v>
      </x:c>
      <x:c r="B9" s="282" t="str">
        <x:v>3-5</x:v>
      </x:c>
      <x:c r="C9" s="290" t="n">
        <x:f>VLOOKUP(B9,'Data Tables'!$A$34:$L$37,12,FALSE)</x:f>
        <x:v>0.81</x:v>
      </x:c>
      <x:c r="D9" s="286" t="n">
        <x:f>Assumptions!B15</x:f>
        <x:v>0.15</x:v>
      </x:c>
      <x:c r="E9" s="292" t="n">
        <x:f>C9*D9</x:f>
        <x:v>0.1215</x:v>
      </x:c>
      <x:c r="F9" s="118"/>
      <x:c r="G9" s="118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276" t="str">
        <x:v>Fuel type</x:v>
      </x:c>
      <x:c r="B10" s="282" t="str">
        <x:v>Diesel</x:v>
      </x:c>
      <x:c r="C10" s="289" t="n">
        <x:f>VLOOKUP(B10,'Data Tables'!$A$42:$L$43,12,FALSE)</x:f>
        <x:v>0.877</x:v>
      </x:c>
      <x:c r="D10" s="285" t="n">
        <x:f>Assumptions!B16</x:f>
        <x:v>0.1</x:v>
      </x:c>
      <x:c r="E10" s="291" t="n">
        <x:f>C10*D10</x:f>
        <x:v>0.0877</x:v>
      </x:c>
      <x:c r="F10" s="118"/>
      <x:c r="G10" s="118"/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228" t="str">
        <x:v>Vehicle power</x:v>
      </x:c>
      <x:c r="B11" s="282" t="str">
        <x:v>4-6</x:v>
      </x:c>
      <x:c r="C11" s="290" t="n">
        <x:f>VLOOKUP(B11,'Data Tables'!$A$48:$L$50,12,FALSE)</x:f>
        <x:v>0.94</x:v>
      </x:c>
      <x:c r="D11" s="286" t="n">
        <x:f>Assumptions!B17</x:f>
        <x:v>0.15</x:v>
      </x:c>
      <x:c r="E11" s="292" t="n">
        <x:f>C11*D11</x:f>
        <x:v>0.141</x:v>
      </x:c>
      <x:c r="F11" s="118"/>
      <x:c r="G11" s="118"/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74"/>
      <x:c r="B12" s="174"/>
      <x:c r="C12" s="174"/>
      <x:c r="D12" s="174"/>
      <x:c r="E12" s="174"/>
      <x:c r="F12" s="118"/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74"/>
      <x:c r="B13" s="174"/>
      <x:c r="C13" s="174"/>
      <x:c r="D13" s="174"/>
      <x:c r="E13" s="174"/>
      <x:c r="F13" s="118"/>
      <x:c r="G13" s="118"/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 ht="20" customHeight="1">
      <x:c r="A14" s="294" t="str">
        <x:v>Pricing output</x:v>
      </x:c>
      <x:c r="B14" s="294" t="str">
        <x:v>Value</x:v>
      </x:c>
      <x:c r="C14" s="207"/>
      <x:c r="D14" s="207"/>
      <x:c r="E14" s="207"/>
      <x:c r="F14" s="118"/>
      <x:c r="G14" s="118"/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91" t="str">
        <x:v>Portfolio base pure premium</x:v>
      </x:c>
      <x:c r="B15" s="298" t="n">
        <x:f>Assumptions!B5</x:f>
        <x:v>228.14</x:v>
      </x:c>
      <x:c r="C15" s="174"/>
      <x:c r="D15" s="174"/>
      <x:c r="E15" s="174"/>
      <x:c r="F15" s="118"/>
      <x:c r="G15" s="118"/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91" t="str">
        <x:v>Weighted relativity</x:v>
      </x:c>
      <x:c r="B16" s="292" t="n">
        <x:f>SUM(E6:E11)</x:f>
        <x:v>0.80805</x:v>
      </x:c>
      <x:c r="C16" s="174"/>
      <x:c r="D16" s="174"/>
      <x:c r="E16" s="174"/>
      <x:c r="F16" s="118"/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91" t="str">
        <x:v>Indicative pure premium</x:v>
      </x:c>
      <x:c r="B17" s="299" t="n">
        <x:f>B15*B16</x:f>
        <x:v>184.348527</x:v>
      </x:c>
      <x:c r="C17" s="174"/>
      <x:c r="D17" s="174"/>
      <x:c r="E17" s="174"/>
      <x:c r="F17" s="118"/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91" t="str">
        <x:v>Expense ratio</x:v>
      </x:c>
      <x:c r="B18" s="286" t="n">
        <x:f>Assumptions!B6</x:f>
        <x:v>0.2</x:v>
      </x:c>
      <x:c r="C18" s="174"/>
      <x:c r="D18" s="174"/>
      <x:c r="E18" s="174"/>
      <x:c r="F18" s="118"/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91" t="str">
        <x:v>Commission ratio</x:v>
      </x:c>
      <x:c r="B19" s="286" t="n">
        <x:f>Assumptions!B7</x:f>
        <x:v>0.1</x:v>
      </x:c>
      <x:c r="C19" s="174"/>
      <x:c r="D19" s="174"/>
      <x:c r="E19" s="174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91" t="str">
        <x:v>Target profit margin</x:v>
      </x:c>
      <x:c r="B20" s="286" t="n">
        <x:f>Assumptions!B8</x:f>
        <x:v>0.08</x:v>
      </x:c>
      <x:c r="C20" s="174"/>
      <x:c r="D20" s="174"/>
      <x:c r="E20" s="174"/>
      <x:c r="F20" s="118"/>
      <x:c r="G20" s="118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301" t="str">
        <x:v>Indicative commercial premium</x:v>
      </x:c>
      <x:c r="B21" s="302" t="n">
        <x:f>B17/(1-B18-B19-B20)</x:f>
        <x:v>297.3363338709677</x:v>
      </x:c>
      <x:c r="C21" s="174"/>
      <x:c r="D21" s="174"/>
      <x:c r="E21" s="174"/>
      <x:c r="F21" s="118"/>
      <x:c r="G21" s="118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74"/>
      <x:c r="B22" s="174"/>
      <x:c r="C22" s="174"/>
      <x:c r="D22" s="174"/>
      <x:c r="E22" s="174"/>
      <x:c r="F22" s="118"/>
      <x:c r="G22" s="118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74"/>
      <x:c r="B23" s="174"/>
      <x:c r="C23" s="174"/>
      <x:c r="D23" s="174"/>
      <x:c r="E23" s="174"/>
      <x:c r="F23" s="118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305" t="str">
        <x:v>Important: the calculator combines one-factor relativities using illustrative weights. It is designed to demonstrate pricing logic and business communication. A production rate should use the fitted multivariate models plus validated expenses, commission, reinsurance, capital and governance assumptions.</x:v>
      </x:c>
      <x:c r="B24" s="305"/>
      <x:c r="C24" s="305"/>
      <x:c r="D24" s="305"/>
      <x:c r="E24" s="305"/>
      <x:c r="F24" s="118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305"/>
      <x:c r="B25" s="305"/>
      <x:c r="C25" s="305"/>
      <x:c r="D25" s="305"/>
      <x:c r="E25" s="305"/>
      <x:c r="F25" s="118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305"/>
      <x:c r="B26" s="305"/>
      <x:c r="C26" s="305"/>
      <x:c r="D26" s="305"/>
      <x:c r="E26" s="305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305"/>
      <x:c r="B27" s="305"/>
      <x:c r="C27" s="305"/>
      <x:c r="D27" s="305"/>
      <x:c r="E27" s="305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74"/>
      <x:c r="B28" s="174"/>
      <x:c r="C28" s="174"/>
      <x:c r="D28" s="174"/>
      <x:c r="E28" s="174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  <x:row r="81">
      <x:c r="A81" s="118"/>
      <x:c r="B81" s="118"/>
      <x:c r="C81" s="118"/>
      <x:c r="D81" s="118"/>
      <x:c r="E81" s="118"/>
      <x:c r="F81" s="118"/>
      <x:c r="G81" s="118"/>
      <x:c r="H81" s="118"/>
      <x:c r="I81" s="118"/>
      <x:c r="J81" s="118"/>
      <x:c r="K81" s="118"/>
      <x:c r="L81" s="118"/>
      <x:c r="M81" s="118"/>
      <x:c r="N81" s="118"/>
      <x:c r="O81" s="118"/>
      <x:c r="P81" s="118"/>
      <x:c r="Q81" s="118"/>
      <x:c r="R81" s="118"/>
      <x:c r="S81" s="118"/>
      <x:c r="T81" s="118"/>
      <x:c r="U81" s="118"/>
      <x:c r="V81" s="118"/>
      <x:c r="W81" s="118"/>
      <x:c r="X81" s="118"/>
      <x:c r="Y81" s="118"/>
      <x:c r="Z81" s="118"/>
    </x:row>
    <x:row r="82">
      <x:c r="A82" s="118"/>
      <x:c r="B82" s="118"/>
      <x:c r="C82" s="118"/>
      <x:c r="D82" s="118"/>
      <x:c r="E82" s="118"/>
      <x:c r="F82" s="118"/>
      <x:c r="G82" s="118"/>
      <x:c r="H82" s="118"/>
      <x:c r="I82" s="118"/>
      <x:c r="J82" s="118"/>
      <x:c r="K82" s="118"/>
      <x:c r="L82" s="118"/>
      <x:c r="M82" s="118"/>
      <x:c r="N82" s="118"/>
      <x:c r="O82" s="118"/>
      <x:c r="P82" s="118"/>
      <x:c r="Q82" s="118"/>
      <x:c r="R82" s="118"/>
      <x:c r="S82" s="118"/>
      <x:c r="T82" s="118"/>
      <x:c r="U82" s="118"/>
      <x:c r="V82" s="118"/>
      <x:c r="W82" s="118"/>
      <x:c r="X82" s="118"/>
      <x:c r="Y82" s="118"/>
      <x:c r="Z82" s="118"/>
    </x:row>
    <x:row r="83">
      <x:c r="A83" s="118"/>
      <x:c r="B83" s="118"/>
      <x:c r="C83" s="118"/>
      <x:c r="D83" s="118"/>
      <x:c r="E83" s="118"/>
      <x:c r="F83" s="118"/>
      <x:c r="G83" s="118"/>
      <x:c r="H83" s="118"/>
      <x:c r="I83" s="118"/>
      <x:c r="J83" s="118"/>
      <x:c r="K83" s="118"/>
      <x:c r="L83" s="118"/>
      <x:c r="M83" s="118"/>
      <x:c r="N83" s="118"/>
      <x:c r="O83" s="118"/>
      <x:c r="P83" s="118"/>
      <x:c r="Q83" s="118"/>
      <x:c r="R83" s="118"/>
      <x:c r="S83" s="118"/>
      <x:c r="T83" s="118"/>
      <x:c r="U83" s="118"/>
      <x:c r="V83" s="118"/>
      <x:c r="W83" s="118"/>
      <x:c r="X83" s="118"/>
      <x:c r="Y83" s="118"/>
      <x:c r="Z83" s="118"/>
    </x:row>
    <x:row r="84">
      <x:c r="A84" s="118"/>
      <x:c r="B84" s="118"/>
      <x:c r="C84" s="118"/>
      <x:c r="D84" s="118"/>
      <x:c r="E84" s="118"/>
      <x:c r="F84" s="118"/>
      <x:c r="G84" s="118"/>
      <x:c r="H84" s="118"/>
      <x:c r="I84" s="118"/>
      <x:c r="J84" s="118"/>
      <x:c r="K84" s="118"/>
      <x:c r="L84" s="118"/>
      <x:c r="M84" s="118"/>
      <x:c r="N84" s="118"/>
      <x:c r="O84" s="118"/>
      <x:c r="P84" s="118"/>
      <x:c r="Q84" s="118"/>
      <x:c r="R84" s="118"/>
      <x:c r="S84" s="118"/>
      <x:c r="T84" s="118"/>
      <x:c r="U84" s="118"/>
      <x:c r="V84" s="118"/>
      <x:c r="W84" s="118"/>
      <x:c r="X84" s="118"/>
      <x:c r="Y84" s="118"/>
      <x:c r="Z84" s="118"/>
    </x:row>
    <x:row r="85">
      <x:c r="A85" s="118"/>
      <x:c r="B85" s="118"/>
      <x:c r="C85" s="118"/>
      <x:c r="D85" s="118"/>
      <x:c r="E85" s="118"/>
      <x:c r="F85" s="118"/>
      <x:c r="G85" s="118"/>
      <x:c r="H85" s="118"/>
      <x:c r="I85" s="118"/>
      <x:c r="J85" s="118"/>
      <x:c r="K85" s="118"/>
      <x:c r="L85" s="118"/>
      <x:c r="M85" s="118"/>
      <x:c r="N85" s="118"/>
      <x:c r="O85" s="118"/>
      <x:c r="P85" s="118"/>
      <x:c r="Q85" s="118"/>
      <x:c r="R85" s="118"/>
      <x:c r="S85" s="118"/>
      <x:c r="T85" s="118"/>
      <x:c r="U85" s="118"/>
      <x:c r="V85" s="118"/>
      <x:c r="W85" s="118"/>
      <x:c r="X85" s="118"/>
      <x:c r="Y85" s="118"/>
      <x:c r="Z85" s="118"/>
    </x:row>
    <x:row r="86">
      <x:c r="A86" s="118"/>
      <x:c r="B86" s="118"/>
      <x:c r="C86" s="118"/>
      <x:c r="D86" s="118"/>
      <x:c r="E86" s="118"/>
      <x:c r="F86" s="118"/>
      <x:c r="G86" s="118"/>
      <x:c r="H86" s="118"/>
      <x:c r="I86" s="118"/>
      <x:c r="J86" s="118"/>
      <x:c r="K86" s="118"/>
      <x:c r="L86" s="118"/>
      <x:c r="M86" s="118"/>
      <x:c r="N86" s="118"/>
      <x:c r="O86" s="118"/>
      <x:c r="P86" s="118"/>
      <x:c r="Q86" s="118"/>
      <x:c r="R86" s="118"/>
      <x:c r="S86" s="118"/>
      <x:c r="T86" s="118"/>
      <x:c r="U86" s="118"/>
      <x:c r="V86" s="118"/>
      <x:c r="W86" s="118"/>
      <x:c r="X86" s="118"/>
      <x:c r="Y86" s="118"/>
      <x:c r="Z86" s="118"/>
    </x:row>
    <x:row r="87">
      <x:c r="A87" s="118"/>
      <x:c r="B87" s="118"/>
      <x:c r="C87" s="118"/>
      <x:c r="D87" s="118"/>
      <x:c r="E87" s="118"/>
      <x:c r="F87" s="118"/>
      <x:c r="G87" s="118"/>
      <x:c r="H87" s="118"/>
      <x:c r="I87" s="118"/>
      <x:c r="J87" s="118"/>
      <x:c r="K87" s="118"/>
      <x:c r="L87" s="118"/>
      <x:c r="M87" s="118"/>
      <x:c r="N87" s="118"/>
      <x:c r="O87" s="118"/>
      <x:c r="P87" s="118"/>
      <x:c r="Q87" s="118"/>
      <x:c r="R87" s="118"/>
      <x:c r="S87" s="118"/>
      <x:c r="T87" s="118"/>
      <x:c r="U87" s="118"/>
      <x:c r="V87" s="118"/>
      <x:c r="W87" s="118"/>
      <x:c r="X87" s="118"/>
      <x:c r="Y87" s="118"/>
      <x:c r="Z87" s="118"/>
    </x:row>
    <x:row r="88">
      <x:c r="A88" s="118"/>
      <x:c r="B88" s="118"/>
      <x:c r="C88" s="118"/>
      <x:c r="D88" s="118"/>
      <x:c r="E88" s="118"/>
      <x:c r="F88" s="118"/>
      <x:c r="G88" s="118"/>
      <x:c r="H88" s="118"/>
      <x:c r="I88" s="118"/>
      <x:c r="J88" s="118"/>
      <x:c r="K88" s="118"/>
      <x:c r="L88" s="118"/>
      <x:c r="M88" s="118"/>
      <x:c r="N88" s="118"/>
      <x:c r="O88" s="118"/>
      <x:c r="P88" s="118"/>
      <x:c r="Q88" s="118"/>
      <x:c r="R88" s="118"/>
      <x:c r="S88" s="118"/>
      <x:c r="T88" s="118"/>
      <x:c r="U88" s="118"/>
      <x:c r="V88" s="118"/>
      <x:c r="W88" s="118"/>
      <x:c r="X88" s="118"/>
      <x:c r="Y88" s="118"/>
      <x:c r="Z88" s="118"/>
    </x:row>
    <x:row r="89">
      <x:c r="A89" s="118"/>
      <x:c r="B89" s="118"/>
      <x:c r="C89" s="118"/>
      <x:c r="D89" s="118"/>
      <x:c r="E89" s="118"/>
      <x:c r="F89" s="118"/>
      <x:c r="G89" s="118"/>
      <x:c r="H89" s="118"/>
      <x:c r="I89" s="118"/>
      <x:c r="J89" s="118"/>
      <x:c r="K89" s="118"/>
      <x:c r="L89" s="118"/>
      <x:c r="M89" s="118"/>
      <x:c r="N89" s="118"/>
      <x:c r="O89" s="118"/>
      <x:c r="P89" s="118"/>
      <x:c r="Q89" s="118"/>
      <x:c r="R89" s="118"/>
      <x:c r="S89" s="118"/>
      <x:c r="T89" s="118"/>
      <x:c r="U89" s="118"/>
      <x:c r="V89" s="118"/>
      <x:c r="W89" s="118"/>
      <x:c r="X89" s="118"/>
      <x:c r="Y89" s="118"/>
      <x:c r="Z89" s="118"/>
    </x:row>
    <x:row r="90">
      <x:c r="A90" s="118"/>
      <x:c r="B90" s="118"/>
      <x:c r="C90" s="118"/>
      <x:c r="D90" s="118"/>
      <x:c r="E90" s="118"/>
      <x:c r="F90" s="118"/>
      <x:c r="G90" s="118"/>
      <x:c r="H90" s="118"/>
      <x:c r="I90" s="118"/>
      <x:c r="J90" s="118"/>
      <x:c r="K90" s="118"/>
      <x:c r="L90" s="118"/>
      <x:c r="M90" s="118"/>
      <x:c r="N90" s="118"/>
      <x:c r="O90" s="118"/>
      <x:c r="P90" s="118"/>
      <x:c r="Q90" s="118"/>
      <x:c r="R90" s="118"/>
      <x:c r="S90" s="118"/>
      <x:c r="T90" s="118"/>
      <x:c r="U90" s="118"/>
      <x:c r="V90" s="118"/>
      <x:c r="W90" s="118"/>
      <x:c r="X90" s="118"/>
      <x:c r="Y90" s="118"/>
      <x:c r="Z90" s="118"/>
    </x:row>
    <x:row r="91">
      <x:c r="A91" s="118"/>
      <x:c r="B91" s="118"/>
      <x:c r="C91" s="118"/>
      <x:c r="D91" s="118"/>
      <x:c r="E91" s="118"/>
      <x:c r="F91" s="118"/>
      <x:c r="G91" s="118"/>
      <x:c r="H91" s="118"/>
      <x:c r="I91" s="118"/>
      <x:c r="J91" s="118"/>
      <x:c r="K91" s="118"/>
      <x:c r="L91" s="118"/>
      <x:c r="M91" s="118"/>
      <x:c r="N91" s="118"/>
      <x:c r="O91" s="118"/>
      <x:c r="P91" s="118"/>
      <x:c r="Q91" s="118"/>
      <x:c r="R91" s="118"/>
      <x:c r="S91" s="118"/>
      <x:c r="T91" s="118"/>
      <x:c r="U91" s="118"/>
      <x:c r="V91" s="118"/>
      <x:c r="W91" s="118"/>
      <x:c r="X91" s="118"/>
      <x:c r="Y91" s="118"/>
      <x:c r="Z91" s="118"/>
    </x:row>
    <x:row r="92">
      <x:c r="A92" s="118"/>
      <x:c r="B92" s="118"/>
      <x:c r="C92" s="118"/>
      <x:c r="D92" s="118"/>
      <x:c r="E92" s="118"/>
      <x:c r="F92" s="118"/>
      <x:c r="G92" s="118"/>
      <x:c r="H92" s="118"/>
      <x:c r="I92" s="118"/>
      <x:c r="J92" s="118"/>
      <x:c r="K92" s="118"/>
      <x:c r="L92" s="118"/>
      <x:c r="M92" s="118"/>
      <x:c r="N92" s="118"/>
      <x:c r="O92" s="118"/>
      <x:c r="P92" s="118"/>
      <x:c r="Q92" s="118"/>
      <x:c r="R92" s="118"/>
      <x:c r="S92" s="118"/>
      <x:c r="T92" s="118"/>
      <x:c r="U92" s="118"/>
      <x:c r="V92" s="118"/>
      <x:c r="W92" s="118"/>
      <x:c r="X92" s="118"/>
      <x:c r="Y92" s="118"/>
      <x:c r="Z92" s="118"/>
    </x:row>
    <x:row r="93">
      <x:c r="A93" s="118"/>
      <x:c r="B93" s="118"/>
      <x:c r="C93" s="118"/>
      <x:c r="D93" s="118"/>
      <x:c r="E93" s="118"/>
      <x:c r="F93" s="118"/>
      <x:c r="G93" s="118"/>
      <x:c r="H93" s="118"/>
      <x:c r="I93" s="118"/>
      <x:c r="J93" s="118"/>
      <x:c r="K93" s="118"/>
      <x:c r="L93" s="118"/>
      <x:c r="M93" s="118"/>
      <x:c r="N93" s="118"/>
      <x:c r="O93" s="118"/>
      <x:c r="P93" s="118"/>
      <x:c r="Q93" s="118"/>
      <x:c r="R93" s="118"/>
      <x:c r="S93" s="118"/>
      <x:c r="T93" s="118"/>
      <x:c r="U93" s="118"/>
      <x:c r="V93" s="118"/>
      <x:c r="W93" s="118"/>
      <x:c r="X93" s="118"/>
      <x:c r="Y93" s="118"/>
      <x:c r="Z93" s="118"/>
    </x:row>
    <x:row r="94">
      <x:c r="A94" s="118"/>
      <x:c r="B94" s="118"/>
      <x:c r="C94" s="118"/>
      <x:c r="D94" s="118"/>
      <x:c r="E94" s="118"/>
      <x:c r="F94" s="118"/>
      <x:c r="G94" s="118"/>
      <x:c r="H94" s="118"/>
      <x:c r="I94" s="118"/>
      <x:c r="J94" s="118"/>
      <x:c r="K94" s="118"/>
      <x:c r="L94" s="118"/>
      <x:c r="M94" s="118"/>
      <x:c r="N94" s="118"/>
      <x:c r="O94" s="118"/>
      <x:c r="P94" s="118"/>
      <x:c r="Q94" s="118"/>
      <x:c r="R94" s="118"/>
      <x:c r="S94" s="118"/>
      <x:c r="T94" s="118"/>
      <x:c r="U94" s="118"/>
      <x:c r="V94" s="118"/>
      <x:c r="W94" s="118"/>
      <x:c r="X94" s="118"/>
      <x:c r="Y94" s="118"/>
      <x:c r="Z94" s="118"/>
    </x:row>
    <x:row r="95">
      <x:c r="A95" s="118"/>
      <x:c r="B95" s="118"/>
      <x:c r="C95" s="118"/>
      <x:c r="D95" s="118"/>
      <x:c r="E95" s="118"/>
      <x:c r="F95" s="118"/>
      <x:c r="G95" s="118"/>
      <x:c r="H95" s="118"/>
      <x:c r="I95" s="118"/>
      <x:c r="J95" s="118"/>
      <x:c r="K95" s="118"/>
      <x:c r="L95" s="118"/>
      <x:c r="M95" s="118"/>
      <x:c r="N95" s="118"/>
      <x:c r="O95" s="118"/>
      <x:c r="P95" s="118"/>
      <x:c r="Q95" s="118"/>
      <x:c r="R95" s="118"/>
      <x:c r="S95" s="118"/>
      <x:c r="T95" s="118"/>
      <x:c r="U95" s="118"/>
      <x:c r="V95" s="118"/>
      <x:c r="W95" s="118"/>
      <x:c r="X95" s="118"/>
      <x:c r="Y95" s="118"/>
      <x:c r="Z95" s="118"/>
    </x:row>
    <x:row r="96">
      <x:c r="A96" s="118"/>
      <x:c r="B96" s="118"/>
      <x:c r="C96" s="118"/>
      <x:c r="D96" s="118"/>
      <x:c r="E96" s="118"/>
      <x:c r="F96" s="118"/>
      <x:c r="G96" s="118"/>
      <x:c r="H96" s="118"/>
      <x:c r="I96" s="118"/>
      <x:c r="J96" s="118"/>
      <x:c r="K96" s="118"/>
      <x:c r="L96" s="118"/>
      <x:c r="M96" s="118"/>
      <x:c r="N96" s="118"/>
      <x:c r="O96" s="118"/>
      <x:c r="P96" s="118"/>
      <x:c r="Q96" s="118"/>
      <x:c r="R96" s="118"/>
      <x:c r="S96" s="118"/>
      <x:c r="T96" s="118"/>
      <x:c r="U96" s="118"/>
      <x:c r="V96" s="118"/>
      <x:c r="W96" s="118"/>
      <x:c r="X96" s="118"/>
      <x:c r="Y96" s="118"/>
      <x:c r="Z96" s="118"/>
    </x:row>
    <x:row r="97">
      <x:c r="A97" s="118"/>
      <x:c r="B97" s="118"/>
      <x:c r="C97" s="118"/>
      <x:c r="D97" s="118"/>
      <x:c r="E97" s="118"/>
      <x:c r="F97" s="118"/>
      <x:c r="G97" s="118"/>
      <x:c r="H97" s="118"/>
      <x:c r="I97" s="118"/>
      <x:c r="J97" s="118"/>
      <x:c r="K97" s="118"/>
      <x:c r="L97" s="118"/>
      <x:c r="M97" s="118"/>
      <x:c r="N97" s="118"/>
      <x:c r="O97" s="118"/>
      <x:c r="P97" s="118"/>
      <x:c r="Q97" s="118"/>
      <x:c r="R97" s="118"/>
      <x:c r="S97" s="118"/>
      <x:c r="T97" s="118"/>
      <x:c r="U97" s="118"/>
      <x:c r="V97" s="118"/>
      <x:c r="W97" s="118"/>
      <x:c r="X97" s="118"/>
      <x:c r="Y97" s="118"/>
      <x:c r="Z97" s="118"/>
    </x:row>
    <x:row r="98">
      <x:c r="A98" s="118"/>
      <x:c r="B98" s="118"/>
      <x:c r="C98" s="118"/>
      <x:c r="D98" s="118"/>
      <x:c r="E98" s="118"/>
      <x:c r="F98" s="118"/>
      <x:c r="G98" s="118"/>
      <x:c r="H98" s="118"/>
      <x:c r="I98" s="118"/>
      <x:c r="J98" s="118"/>
      <x:c r="K98" s="118"/>
      <x:c r="L98" s="118"/>
      <x:c r="M98" s="118"/>
      <x:c r="N98" s="118"/>
      <x:c r="O98" s="118"/>
      <x:c r="P98" s="118"/>
      <x:c r="Q98" s="118"/>
      <x:c r="R98" s="118"/>
      <x:c r="S98" s="118"/>
      <x:c r="T98" s="118"/>
      <x:c r="U98" s="118"/>
      <x:c r="V98" s="118"/>
      <x:c r="W98" s="118"/>
      <x:c r="X98" s="118"/>
      <x:c r="Y98" s="118"/>
      <x:c r="Z98" s="118"/>
    </x:row>
    <x:row r="99">
      <x:c r="A99" s="118"/>
      <x:c r="B99" s="118"/>
      <x:c r="C99" s="118"/>
      <x:c r="D99" s="118"/>
      <x:c r="E99" s="118"/>
      <x:c r="F99" s="118"/>
      <x:c r="G99" s="118"/>
      <x:c r="H99" s="118"/>
      <x:c r="I99" s="118"/>
      <x:c r="J99" s="118"/>
      <x:c r="K99" s="118"/>
      <x:c r="L99" s="118"/>
      <x:c r="M99" s="118"/>
      <x:c r="N99" s="118"/>
      <x:c r="O99" s="118"/>
      <x:c r="P99" s="118"/>
      <x:c r="Q99" s="118"/>
      <x:c r="R99" s="118"/>
      <x:c r="S99" s="118"/>
      <x:c r="T99" s="118"/>
      <x:c r="U99" s="118"/>
      <x:c r="V99" s="118"/>
      <x:c r="W99" s="118"/>
      <x:c r="X99" s="118"/>
      <x:c r="Y99" s="118"/>
      <x:c r="Z99" s="118"/>
    </x:row>
    <x:row r="100">
      <x:c r="A100" s="118"/>
      <x:c r="B100" s="118"/>
      <x:c r="C100" s="118"/>
      <x:c r="D100" s="118"/>
      <x:c r="E100" s="118"/>
      <x:c r="F100" s="118"/>
      <x:c r="G100" s="118"/>
      <x:c r="H100" s="118"/>
      <x:c r="I100" s="118"/>
      <x:c r="J100" s="118"/>
      <x:c r="K100" s="118"/>
      <x:c r="L100" s="118"/>
      <x:c r="M100" s="118"/>
      <x:c r="N100" s="118"/>
      <x:c r="O100" s="118"/>
      <x:c r="P100" s="118"/>
      <x:c r="Q100" s="118"/>
      <x:c r="R100" s="118"/>
      <x:c r="S100" s="118"/>
      <x:c r="T100" s="118"/>
      <x:c r="U100" s="118"/>
      <x:c r="V100" s="118"/>
      <x:c r="W100" s="118"/>
      <x:c r="X100" s="118"/>
      <x:c r="Y100" s="118"/>
      <x:c r="Z100" s="118"/>
    </x:row>
  </x:sheetData>
  <x:mergeCells>
    <x:mergeCell ref="A24:E27"/>
    <x:mergeCell ref="A1:E2"/>
    <x:mergeCell ref="A3:E3"/>
  </x:mergeCells>
  <x:dataValidations count="6">
    <x:dataValidation type="list" sqref="B6">
      <x:formula1>"18-25,26-35,36-45,46-55,56-65,66+"</x:formula1>
    </x:dataValidation>
    <x:dataValidation type="list" sqref="B7">
      <x:formula1>"&lt;=50,51-75,76-100,&gt;100"</x:formula1>
    </x:dataValidation>
    <x:dataValidation type="list" sqref="B8">
      <x:formula1>"A,B,C,D,E,F"</x:formula1>
    </x:dataValidation>
    <x:dataValidation type="list" sqref="B9">
      <x:formula1>"0-2,3-5,6-10,11+"</x:formula1>
    </x:dataValidation>
    <x:dataValidation type="list" sqref="B10">
      <x:formula1>"Diesel,Regular"</x:formula1>
    </x:dataValidation>
    <x:dataValidation type="list" sqref="B11">
      <x:formula1>"4-6,7-9,10+"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5" hidden="0" customWidth="1"/>
    <x:col min="4" max="4" width="14" hidden="0" customWidth="1"/>
  </x:cols>
  <x:sheetData>
    <x:row r="1" ht="26" customHeight="1">
      <x:c r="A1" s="200" t="str">
        <x:v>Illustrative Pricing Assumptions</x:v>
      </x:c>
      <x:c r="B1" s="200"/>
      <x:c r="C1" s="200"/>
      <x:c r="D1" s="200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 ht="22" customHeight="1">
      <x:c r="A2" s="374" t="str">
        <x:v>Editable commercial loadings and component weights used by the illustrative pricing calculator</x:v>
      </x:c>
      <x:c r="B2" s="374"/>
      <x:c r="C2" s="374"/>
      <x:c r="D2" s="374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375" t="str">
        <x:v>Editable commercial loadings and component weights used by the illustrative pricing calculator</x:v>
      </x:c>
      <x:c r="B3" s="375"/>
      <x:c r="C3" s="375"/>
      <x:c r="D3" s="375"/>
      <x:c r="E3" s="118"/>
      <x:c r="F3" s="118"/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 ht="26" customHeight="1">
      <x:c r="A4" s="248" t="str">
        <x:v>Assumption</x:v>
      </x:c>
      <x:c r="B4" s="248" t="str">
        <x:v>Value</x:v>
      </x:c>
      <x:c r="C4" s="248" t="str">
        <x:v>Source / rationale</x:v>
      </x:c>
      <x:c r="D4" s="248" t="str">
        <x:v>Editable?</x:v>
      </x:c>
      <x:c r="E4" s="118"/>
      <x:c r="F4" s="118"/>
      <x:c r="G4" s="118"/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249" t="str">
        <x:v>Portfolio base pure premium</x:v>
      </x:c>
      <x:c r="B5" s="315" t="n">
        <x:v>228.14</x:v>
      </x:c>
      <x:c r="C5" s="249" t="str">
        <x:v>Verified full-dataset frequency × severity benchmark</x:v>
      </x:c>
      <x:c r="D5" s="249" t="str">
        <x:v>No</x:v>
      </x:c>
      <x:c r="E5" s="118"/>
      <x:c r="F5" s="118"/>
      <x:c r="G5" s="118"/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81" t="str">
        <x:v>Expense ratio</x:v>
      </x:c>
      <x:c r="B6" s="314" t="n">
        <x:v>0.2</x:v>
      </x:c>
      <x:c r="C6" s="181" t="str">
        <x:v>Illustrative assumption for portfolio demonstration</x:v>
      </x:c>
      <x:c r="D6" s="181" t="str">
        <x:v>Yes</x:v>
      </x:c>
      <x:c r="E6" s="118"/>
      <x:c r="F6" s="118"/>
      <x:c r="G6" s="118"/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249" t="str">
        <x:v>Commission ratio</x:v>
      </x:c>
      <x:c r="B7" s="314" t="n">
        <x:v>0.1</x:v>
      </x:c>
      <x:c r="C7" s="249" t="str">
        <x:v>Illustrative assumption for portfolio demonstration</x:v>
      </x:c>
      <x:c r="D7" s="249" t="str">
        <x:v>Yes</x:v>
      </x:c>
      <x:c r="E7" s="118"/>
      <x:c r="F7" s="118"/>
      <x:c r="G7" s="118"/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81" t="str">
        <x:v>Target profit margin</x:v>
      </x:c>
      <x:c r="B8" s="314" t="n">
        <x:v>0.08</x:v>
      </x:c>
      <x:c r="C8" s="181" t="str">
        <x:v>Illustrative assumption for portfolio demonstration</x:v>
      </x:c>
      <x:c r="D8" s="181" t="str">
        <x:v>Yes</x:v>
      </x:c>
      <x:c r="E8" s="118"/>
      <x:c r="F8" s="118"/>
      <x:c r="G8" s="118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317" t="str">
        <x:v>Total commercial loading</x:v>
      </x:c>
      <x:c r="B9" s="318" t="n">
        <x:f>SUM(B6:B8)</x:f>
        <x:v>0.38000000000000006</x:v>
      </x:c>
      <x:c r="C9" s="317" t="str">
        <x:v>Expense + commission + profit</x:v>
      </x:c>
      <x:c r="D9" s="317" t="str">
        <x:v>Formula</x:v>
      </x:c>
      <x:c r="E9" s="118"/>
      <x:c r="F9" s="118"/>
      <x:c r="G9" s="118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71"/>
      <x:c r="B10" s="171"/>
      <x:c r="C10" s="171"/>
      <x:c r="D10" s="171"/>
      <x:c r="E10" s="118"/>
      <x:c r="F10" s="118"/>
      <x:c r="G10" s="118"/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 ht="26" customHeight="1">
      <x:c r="A11" s="248" t="str">
        <x:v>Relativity component</x:v>
      </x:c>
      <x:c r="B11" s="248" t="str">
        <x:v>Weight</x:v>
      </x:c>
      <x:c r="C11" s="248" t="str">
        <x:v>Rationale</x:v>
      </x:c>
      <x:c r="D11" s="248" t="str">
        <x:v>Check</x:v>
      </x:c>
      <x:c r="E11" s="118"/>
      <x:c r="F11" s="118"/>
      <x:c r="G11" s="118"/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249" t="str">
        <x:v>Driver age</x:v>
      </x:c>
      <x:c r="B12" s="314" t="n">
        <x:v>0.2</x:v>
      </x:c>
      <x:c r="C12" s="249" t="str">
        <x:v>Strong one-factor risk differentiation</x:v>
      </x:c>
      <x:c r="D12" s="249" t="str"/>
      <x:c r="E12" s="118"/>
      <x:c r="F12" s="118"/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81" t="str">
        <x:v>Bonus-Malus</x:v>
      </x:c>
      <x:c r="B13" s="314" t="n">
        <x:v>0.25</x:v>
      </x:c>
      <x:c r="C13" s="181" t="str">
        <x:v>Strong one-factor risk differentiation</x:v>
      </x:c>
      <x:c r="D13" s="181" t="str"/>
      <x:c r="E13" s="118"/>
      <x:c r="F13" s="118"/>
      <x:c r="G13" s="118"/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249" t="str">
        <x:v>Area</x:v>
      </x:c>
      <x:c r="B14" s="314" t="n">
        <x:v>0.15</x:v>
      </x:c>
      <x:c r="C14" s="249" t="str">
        <x:v>Geographic risk proxy</x:v>
      </x:c>
      <x:c r="D14" s="249" t="str"/>
      <x:c r="E14" s="118"/>
      <x:c r="F14" s="118"/>
      <x:c r="G14" s="118"/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81" t="str">
        <x:v>Vehicle age</x:v>
      </x:c>
      <x:c r="B15" s="314" t="n">
        <x:v>0.15</x:v>
      </x:c>
      <x:c r="C15" s="181" t="str">
        <x:v>Vehicle risk proxy</x:v>
      </x:c>
      <x:c r="D15" s="181" t="str"/>
      <x:c r="E15" s="118"/>
      <x:c r="F15" s="118"/>
      <x:c r="G15" s="118"/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249" t="str">
        <x:v>Fuel type</x:v>
      </x:c>
      <x:c r="B16" s="314" t="n">
        <x:v>0.1</x:v>
      </x:c>
      <x:c r="C16" s="249" t="str">
        <x:v>Portfolio characteristic</x:v>
      </x:c>
      <x:c r="D16" s="249" t="str"/>
      <x:c r="E16" s="118"/>
      <x:c r="F16" s="118"/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81" t="str">
        <x:v>Vehicle power</x:v>
      </x:c>
      <x:c r="B17" s="314" t="n">
        <x:v>0.15</x:v>
      </x:c>
      <x:c r="C17" s="181" t="str">
        <x:v>Vehicle risk proxy</x:v>
      </x:c>
      <x:c r="D17" s="181" t="str"/>
      <x:c r="E17" s="118"/>
      <x:c r="F17" s="118"/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71"/>
      <x:c r="B18" s="308"/>
      <x:c r="C18" s="171"/>
      <x:c r="D18" s="171"/>
      <x:c r="E18" s="118"/>
      <x:c r="F18" s="118"/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317" t="str">
        <x:v>Weight total</x:v>
      </x:c>
      <x:c r="B19" s="318" t="n">
        <x:f>SUM(B12:B17)</x:f>
        <x:v>1</x:v>
      </x:c>
      <x:c r="C19" s="317" t="str">
        <x:v>Should equal 100%</x:v>
      </x:c>
      <x:c r="D19" s="322" t="str">
        <x:f>IF(ABS(B19-1)&lt;0.0001,"OK","CHECK")</x:f>
        <x:v>OK</x:v>
      </x:c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71"/>
      <x:c r="B20" s="171"/>
      <x:c r="C20" s="171"/>
      <x:c r="D20" s="171"/>
      <x:c r="E20" s="118"/>
      <x:c r="F20" s="118"/>
      <x:c r="G20" s="118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 ht="20" customHeight="1">
      <x:c r="A21" s="186" t="str">
        <x:v>Model convention</x:v>
      </x:c>
      <x:c r="B21" s="186"/>
      <x:c r="C21" s="186"/>
      <x:c r="D21" s="186"/>
      <x:c r="E21" s="118"/>
      <x:c r="F21" s="118"/>
      <x:c r="G21" s="118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324" t="str">
        <x:v>Yellow cells</x:v>
      </x:c>
      <x:c r="B22" s="304" t="str">
        <x:v>Editable scenario assumptions / weights</x:v>
      </x:c>
      <x:c r="C22" s="304"/>
      <x:c r="D22" s="304"/>
      <x:c r="E22" s="118"/>
      <x:c r="F22" s="118"/>
      <x:c r="G22" s="118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324" t="str">
        <x:v>Blue text</x:v>
      </x:c>
      <x:c r="B23" s="304" t="str">
        <x:v>Hardcoded model inputs; black = formulas; green = links to other sheets</x:v>
      </x:c>
      <x:c r="C23" s="304"/>
      <x:c r="D23" s="304"/>
      <x:c r="E23" s="118"/>
      <x:c r="F23" s="118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74"/>
      <x:c r="B24" s="174"/>
      <x:c r="C24" s="174"/>
      <x:c r="D24" s="174"/>
      <x:c r="E24" s="118"/>
      <x:c r="F24" s="118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/>
      <x:c r="B25" s="118"/>
      <x:c r="C25" s="118"/>
      <x:c r="D25" s="118"/>
      <x:c r="E25" s="118"/>
      <x:c r="F25" s="118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/>
      <x:c r="B26" s="118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/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  <x:row r="81">
      <x:c r="A81" s="118"/>
      <x:c r="B81" s="118"/>
      <x:c r="C81" s="118"/>
      <x:c r="D81" s="118"/>
      <x:c r="E81" s="118"/>
      <x:c r="F81" s="118"/>
      <x:c r="G81" s="118"/>
      <x:c r="H81" s="118"/>
      <x:c r="I81" s="118"/>
      <x:c r="J81" s="118"/>
      <x:c r="K81" s="118"/>
      <x:c r="L81" s="118"/>
      <x:c r="M81" s="118"/>
      <x:c r="N81" s="118"/>
      <x:c r="O81" s="118"/>
      <x:c r="P81" s="118"/>
      <x:c r="Q81" s="118"/>
      <x:c r="R81" s="118"/>
      <x:c r="S81" s="118"/>
      <x:c r="T81" s="118"/>
      <x:c r="U81" s="118"/>
      <x:c r="V81" s="118"/>
      <x:c r="W81" s="118"/>
      <x:c r="X81" s="118"/>
      <x:c r="Y81" s="118"/>
      <x:c r="Z81" s="118"/>
    </x:row>
    <x:row r="82">
      <x:c r="A82" s="118"/>
      <x:c r="B82" s="118"/>
      <x:c r="C82" s="118"/>
      <x:c r="D82" s="118"/>
      <x:c r="E82" s="118"/>
      <x:c r="F82" s="118"/>
      <x:c r="G82" s="118"/>
      <x:c r="H82" s="118"/>
      <x:c r="I82" s="118"/>
      <x:c r="J82" s="118"/>
      <x:c r="K82" s="118"/>
      <x:c r="L82" s="118"/>
      <x:c r="M82" s="118"/>
      <x:c r="N82" s="118"/>
      <x:c r="O82" s="118"/>
      <x:c r="P82" s="118"/>
      <x:c r="Q82" s="118"/>
      <x:c r="R82" s="118"/>
      <x:c r="S82" s="118"/>
      <x:c r="T82" s="118"/>
      <x:c r="U82" s="118"/>
      <x:c r="V82" s="118"/>
      <x:c r="W82" s="118"/>
      <x:c r="X82" s="118"/>
      <x:c r="Y82" s="118"/>
      <x:c r="Z82" s="118"/>
    </x:row>
    <x:row r="83">
      <x:c r="A83" s="118"/>
      <x:c r="B83" s="118"/>
      <x:c r="C83" s="118"/>
      <x:c r="D83" s="118"/>
      <x:c r="E83" s="118"/>
      <x:c r="F83" s="118"/>
      <x:c r="G83" s="118"/>
      <x:c r="H83" s="118"/>
      <x:c r="I83" s="118"/>
      <x:c r="J83" s="118"/>
      <x:c r="K83" s="118"/>
      <x:c r="L83" s="118"/>
      <x:c r="M83" s="118"/>
      <x:c r="N83" s="118"/>
      <x:c r="O83" s="118"/>
      <x:c r="P83" s="118"/>
      <x:c r="Q83" s="118"/>
      <x:c r="R83" s="118"/>
      <x:c r="S83" s="118"/>
      <x:c r="T83" s="118"/>
      <x:c r="U83" s="118"/>
      <x:c r="V83" s="118"/>
      <x:c r="W83" s="118"/>
      <x:c r="X83" s="118"/>
      <x:c r="Y83" s="118"/>
      <x:c r="Z83" s="118"/>
    </x:row>
    <x:row r="84">
      <x:c r="A84" s="118"/>
      <x:c r="B84" s="118"/>
      <x:c r="C84" s="118"/>
      <x:c r="D84" s="118"/>
      <x:c r="E84" s="118"/>
      <x:c r="F84" s="118"/>
      <x:c r="G84" s="118"/>
      <x:c r="H84" s="118"/>
      <x:c r="I84" s="118"/>
      <x:c r="J84" s="118"/>
      <x:c r="K84" s="118"/>
      <x:c r="L84" s="118"/>
      <x:c r="M84" s="118"/>
      <x:c r="N84" s="118"/>
      <x:c r="O84" s="118"/>
      <x:c r="P84" s="118"/>
      <x:c r="Q84" s="118"/>
      <x:c r="R84" s="118"/>
      <x:c r="S84" s="118"/>
      <x:c r="T84" s="118"/>
      <x:c r="U84" s="118"/>
      <x:c r="V84" s="118"/>
      <x:c r="W84" s="118"/>
      <x:c r="X84" s="118"/>
      <x:c r="Y84" s="118"/>
      <x:c r="Z84" s="118"/>
    </x:row>
    <x:row r="85">
      <x:c r="A85" s="118"/>
      <x:c r="B85" s="118"/>
      <x:c r="C85" s="118"/>
      <x:c r="D85" s="118"/>
      <x:c r="E85" s="118"/>
      <x:c r="F85" s="118"/>
      <x:c r="G85" s="118"/>
      <x:c r="H85" s="118"/>
      <x:c r="I85" s="118"/>
      <x:c r="J85" s="118"/>
      <x:c r="K85" s="118"/>
      <x:c r="L85" s="118"/>
      <x:c r="M85" s="118"/>
      <x:c r="N85" s="118"/>
      <x:c r="O85" s="118"/>
      <x:c r="P85" s="118"/>
      <x:c r="Q85" s="118"/>
      <x:c r="R85" s="118"/>
      <x:c r="S85" s="118"/>
      <x:c r="T85" s="118"/>
      <x:c r="U85" s="118"/>
      <x:c r="V85" s="118"/>
      <x:c r="W85" s="118"/>
      <x:c r="X85" s="118"/>
      <x:c r="Y85" s="118"/>
      <x:c r="Z85" s="118"/>
    </x:row>
    <x:row r="86">
      <x:c r="A86" s="118"/>
      <x:c r="B86" s="118"/>
      <x:c r="C86" s="118"/>
      <x:c r="D86" s="118"/>
      <x:c r="E86" s="118"/>
      <x:c r="F86" s="118"/>
      <x:c r="G86" s="118"/>
      <x:c r="H86" s="118"/>
      <x:c r="I86" s="118"/>
      <x:c r="J86" s="118"/>
      <x:c r="K86" s="118"/>
      <x:c r="L86" s="118"/>
      <x:c r="M86" s="118"/>
      <x:c r="N86" s="118"/>
      <x:c r="O86" s="118"/>
      <x:c r="P86" s="118"/>
      <x:c r="Q86" s="118"/>
      <x:c r="R86" s="118"/>
      <x:c r="S86" s="118"/>
      <x:c r="T86" s="118"/>
      <x:c r="U86" s="118"/>
      <x:c r="V86" s="118"/>
      <x:c r="W86" s="118"/>
      <x:c r="X86" s="118"/>
      <x:c r="Y86" s="118"/>
      <x:c r="Z86" s="118"/>
    </x:row>
    <x:row r="87">
      <x:c r="A87" s="118"/>
      <x:c r="B87" s="118"/>
      <x:c r="C87" s="118"/>
      <x:c r="D87" s="118"/>
      <x:c r="E87" s="118"/>
      <x:c r="F87" s="118"/>
      <x:c r="G87" s="118"/>
      <x:c r="H87" s="118"/>
      <x:c r="I87" s="118"/>
      <x:c r="J87" s="118"/>
      <x:c r="K87" s="118"/>
      <x:c r="L87" s="118"/>
      <x:c r="M87" s="118"/>
      <x:c r="N87" s="118"/>
      <x:c r="O87" s="118"/>
      <x:c r="P87" s="118"/>
      <x:c r="Q87" s="118"/>
      <x:c r="R87" s="118"/>
      <x:c r="S87" s="118"/>
      <x:c r="T87" s="118"/>
      <x:c r="U87" s="118"/>
      <x:c r="V87" s="118"/>
      <x:c r="W87" s="118"/>
      <x:c r="X87" s="118"/>
      <x:c r="Y87" s="118"/>
      <x:c r="Z87" s="118"/>
    </x:row>
    <x:row r="88">
      <x:c r="A88" s="118"/>
      <x:c r="B88" s="118"/>
      <x:c r="C88" s="118"/>
      <x:c r="D88" s="118"/>
      <x:c r="E88" s="118"/>
      <x:c r="F88" s="118"/>
      <x:c r="G88" s="118"/>
      <x:c r="H88" s="118"/>
      <x:c r="I88" s="118"/>
      <x:c r="J88" s="118"/>
      <x:c r="K88" s="118"/>
      <x:c r="L88" s="118"/>
      <x:c r="M88" s="118"/>
      <x:c r="N88" s="118"/>
      <x:c r="O88" s="118"/>
      <x:c r="P88" s="118"/>
      <x:c r="Q88" s="118"/>
      <x:c r="R88" s="118"/>
      <x:c r="S88" s="118"/>
      <x:c r="T88" s="118"/>
      <x:c r="U88" s="118"/>
      <x:c r="V88" s="118"/>
      <x:c r="W88" s="118"/>
      <x:c r="X88" s="118"/>
      <x:c r="Y88" s="118"/>
      <x:c r="Z88" s="118"/>
    </x:row>
    <x:row r="89">
      <x:c r="A89" s="118"/>
      <x:c r="B89" s="118"/>
      <x:c r="C89" s="118"/>
      <x:c r="D89" s="118"/>
      <x:c r="E89" s="118"/>
      <x:c r="F89" s="118"/>
      <x:c r="G89" s="118"/>
      <x:c r="H89" s="118"/>
      <x:c r="I89" s="118"/>
      <x:c r="J89" s="118"/>
      <x:c r="K89" s="118"/>
      <x:c r="L89" s="118"/>
      <x:c r="M89" s="118"/>
      <x:c r="N89" s="118"/>
      <x:c r="O89" s="118"/>
      <x:c r="P89" s="118"/>
      <x:c r="Q89" s="118"/>
      <x:c r="R89" s="118"/>
      <x:c r="S89" s="118"/>
      <x:c r="T89" s="118"/>
      <x:c r="U89" s="118"/>
      <x:c r="V89" s="118"/>
      <x:c r="W89" s="118"/>
      <x:c r="X89" s="118"/>
      <x:c r="Y89" s="118"/>
      <x:c r="Z89" s="118"/>
    </x:row>
    <x:row r="90">
      <x:c r="A90" s="118"/>
      <x:c r="B90" s="118"/>
      <x:c r="C90" s="118"/>
      <x:c r="D90" s="118"/>
      <x:c r="E90" s="118"/>
      <x:c r="F90" s="118"/>
      <x:c r="G90" s="118"/>
      <x:c r="H90" s="118"/>
      <x:c r="I90" s="118"/>
      <x:c r="J90" s="118"/>
      <x:c r="K90" s="118"/>
      <x:c r="L90" s="118"/>
      <x:c r="M90" s="118"/>
      <x:c r="N90" s="118"/>
      <x:c r="O90" s="118"/>
      <x:c r="P90" s="118"/>
      <x:c r="Q90" s="118"/>
      <x:c r="R90" s="118"/>
      <x:c r="S90" s="118"/>
      <x:c r="T90" s="118"/>
      <x:c r="U90" s="118"/>
      <x:c r="V90" s="118"/>
      <x:c r="W90" s="118"/>
      <x:c r="X90" s="118"/>
      <x:c r="Y90" s="118"/>
      <x:c r="Z90" s="118"/>
    </x:row>
    <x:row r="91">
      <x:c r="A91" s="118"/>
      <x:c r="B91" s="118"/>
      <x:c r="C91" s="118"/>
      <x:c r="D91" s="118"/>
      <x:c r="E91" s="118"/>
      <x:c r="F91" s="118"/>
      <x:c r="G91" s="118"/>
      <x:c r="H91" s="118"/>
      <x:c r="I91" s="118"/>
      <x:c r="J91" s="118"/>
      <x:c r="K91" s="118"/>
      <x:c r="L91" s="118"/>
      <x:c r="M91" s="118"/>
      <x:c r="N91" s="118"/>
      <x:c r="O91" s="118"/>
      <x:c r="P91" s="118"/>
      <x:c r="Q91" s="118"/>
      <x:c r="R91" s="118"/>
      <x:c r="S91" s="118"/>
      <x:c r="T91" s="118"/>
      <x:c r="U91" s="118"/>
      <x:c r="V91" s="118"/>
      <x:c r="W91" s="118"/>
      <x:c r="X91" s="118"/>
      <x:c r="Y91" s="118"/>
      <x:c r="Z91" s="118"/>
    </x:row>
    <x:row r="92">
      <x:c r="A92" s="118"/>
      <x:c r="B92" s="118"/>
      <x:c r="C92" s="118"/>
      <x:c r="D92" s="118"/>
      <x:c r="E92" s="118"/>
      <x:c r="F92" s="118"/>
      <x:c r="G92" s="118"/>
      <x:c r="H92" s="118"/>
      <x:c r="I92" s="118"/>
      <x:c r="J92" s="118"/>
      <x:c r="K92" s="118"/>
      <x:c r="L92" s="118"/>
      <x:c r="M92" s="118"/>
      <x:c r="N92" s="118"/>
      <x:c r="O92" s="118"/>
      <x:c r="P92" s="118"/>
      <x:c r="Q92" s="118"/>
      <x:c r="R92" s="118"/>
      <x:c r="S92" s="118"/>
      <x:c r="T92" s="118"/>
      <x:c r="U92" s="118"/>
      <x:c r="V92" s="118"/>
      <x:c r="W92" s="118"/>
      <x:c r="X92" s="118"/>
      <x:c r="Y92" s="118"/>
      <x:c r="Z92" s="118"/>
    </x:row>
    <x:row r="93">
      <x:c r="A93" s="118"/>
      <x:c r="B93" s="118"/>
      <x:c r="C93" s="118"/>
      <x:c r="D93" s="118"/>
      <x:c r="E93" s="118"/>
      <x:c r="F93" s="118"/>
      <x:c r="G93" s="118"/>
      <x:c r="H93" s="118"/>
      <x:c r="I93" s="118"/>
      <x:c r="J93" s="118"/>
      <x:c r="K93" s="118"/>
      <x:c r="L93" s="118"/>
      <x:c r="M93" s="118"/>
      <x:c r="N93" s="118"/>
      <x:c r="O93" s="118"/>
      <x:c r="P93" s="118"/>
      <x:c r="Q93" s="118"/>
      <x:c r="R93" s="118"/>
      <x:c r="S93" s="118"/>
      <x:c r="T93" s="118"/>
      <x:c r="U93" s="118"/>
      <x:c r="V93" s="118"/>
      <x:c r="W93" s="118"/>
      <x:c r="X93" s="118"/>
      <x:c r="Y93" s="118"/>
      <x:c r="Z93" s="118"/>
    </x:row>
    <x:row r="94">
      <x:c r="A94" s="118"/>
      <x:c r="B94" s="118"/>
      <x:c r="C94" s="118"/>
      <x:c r="D94" s="118"/>
      <x:c r="E94" s="118"/>
      <x:c r="F94" s="118"/>
      <x:c r="G94" s="118"/>
      <x:c r="H94" s="118"/>
      <x:c r="I94" s="118"/>
      <x:c r="J94" s="118"/>
      <x:c r="K94" s="118"/>
      <x:c r="L94" s="118"/>
      <x:c r="M94" s="118"/>
      <x:c r="N94" s="118"/>
      <x:c r="O94" s="118"/>
      <x:c r="P94" s="118"/>
      <x:c r="Q94" s="118"/>
      <x:c r="R94" s="118"/>
      <x:c r="S94" s="118"/>
      <x:c r="T94" s="118"/>
      <x:c r="U94" s="118"/>
      <x:c r="V94" s="118"/>
      <x:c r="W94" s="118"/>
      <x:c r="X94" s="118"/>
      <x:c r="Y94" s="118"/>
      <x:c r="Z94" s="118"/>
    </x:row>
    <x:row r="95">
      <x:c r="A95" s="118"/>
      <x:c r="B95" s="118"/>
      <x:c r="C95" s="118"/>
      <x:c r="D95" s="118"/>
      <x:c r="E95" s="118"/>
      <x:c r="F95" s="118"/>
      <x:c r="G95" s="118"/>
      <x:c r="H95" s="118"/>
      <x:c r="I95" s="118"/>
      <x:c r="J95" s="118"/>
      <x:c r="K95" s="118"/>
      <x:c r="L95" s="118"/>
      <x:c r="M95" s="118"/>
      <x:c r="N95" s="118"/>
      <x:c r="O95" s="118"/>
      <x:c r="P95" s="118"/>
      <x:c r="Q95" s="118"/>
      <x:c r="R95" s="118"/>
      <x:c r="S95" s="118"/>
      <x:c r="T95" s="118"/>
      <x:c r="U95" s="118"/>
      <x:c r="V95" s="118"/>
      <x:c r="W95" s="118"/>
      <x:c r="X95" s="118"/>
      <x:c r="Y95" s="118"/>
      <x:c r="Z95" s="118"/>
    </x:row>
    <x:row r="96">
      <x:c r="A96" s="118"/>
      <x:c r="B96" s="118"/>
      <x:c r="C96" s="118"/>
      <x:c r="D96" s="118"/>
      <x:c r="E96" s="118"/>
      <x:c r="F96" s="118"/>
      <x:c r="G96" s="118"/>
      <x:c r="H96" s="118"/>
      <x:c r="I96" s="118"/>
      <x:c r="J96" s="118"/>
      <x:c r="K96" s="118"/>
      <x:c r="L96" s="118"/>
      <x:c r="M96" s="118"/>
      <x:c r="N96" s="118"/>
      <x:c r="O96" s="118"/>
      <x:c r="P96" s="118"/>
      <x:c r="Q96" s="118"/>
      <x:c r="R96" s="118"/>
      <x:c r="S96" s="118"/>
      <x:c r="T96" s="118"/>
      <x:c r="U96" s="118"/>
      <x:c r="V96" s="118"/>
      <x:c r="W96" s="118"/>
      <x:c r="X96" s="118"/>
      <x:c r="Y96" s="118"/>
      <x:c r="Z96" s="118"/>
    </x:row>
    <x:row r="97">
      <x:c r="A97" s="118"/>
      <x:c r="B97" s="118"/>
      <x:c r="C97" s="118"/>
      <x:c r="D97" s="118"/>
      <x:c r="E97" s="118"/>
      <x:c r="F97" s="118"/>
      <x:c r="G97" s="118"/>
      <x:c r="H97" s="118"/>
      <x:c r="I97" s="118"/>
      <x:c r="J97" s="118"/>
      <x:c r="K97" s="118"/>
      <x:c r="L97" s="118"/>
      <x:c r="M97" s="118"/>
      <x:c r="N97" s="118"/>
      <x:c r="O97" s="118"/>
      <x:c r="P97" s="118"/>
      <x:c r="Q97" s="118"/>
      <x:c r="R97" s="118"/>
      <x:c r="S97" s="118"/>
      <x:c r="T97" s="118"/>
      <x:c r="U97" s="118"/>
      <x:c r="V97" s="118"/>
      <x:c r="W97" s="118"/>
      <x:c r="X97" s="118"/>
      <x:c r="Y97" s="118"/>
      <x:c r="Z97" s="118"/>
    </x:row>
    <x:row r="98">
      <x:c r="A98" s="118"/>
      <x:c r="B98" s="118"/>
      <x:c r="C98" s="118"/>
      <x:c r="D98" s="118"/>
      <x:c r="E98" s="118"/>
      <x:c r="F98" s="118"/>
      <x:c r="G98" s="118"/>
      <x:c r="H98" s="118"/>
      <x:c r="I98" s="118"/>
      <x:c r="J98" s="118"/>
      <x:c r="K98" s="118"/>
      <x:c r="L98" s="118"/>
      <x:c r="M98" s="118"/>
      <x:c r="N98" s="118"/>
      <x:c r="O98" s="118"/>
      <x:c r="P98" s="118"/>
      <x:c r="Q98" s="118"/>
      <x:c r="R98" s="118"/>
      <x:c r="S98" s="118"/>
      <x:c r="T98" s="118"/>
      <x:c r="U98" s="118"/>
      <x:c r="V98" s="118"/>
      <x:c r="W98" s="118"/>
      <x:c r="X98" s="118"/>
      <x:c r="Y98" s="118"/>
      <x:c r="Z98" s="118"/>
    </x:row>
    <x:row r="99">
      <x:c r="A99" s="118"/>
      <x:c r="B99" s="118"/>
      <x:c r="C99" s="118"/>
      <x:c r="D99" s="118"/>
      <x:c r="E99" s="118"/>
      <x:c r="F99" s="118"/>
      <x:c r="G99" s="118"/>
      <x:c r="H99" s="118"/>
      <x:c r="I99" s="118"/>
      <x:c r="J99" s="118"/>
      <x:c r="K99" s="118"/>
      <x:c r="L99" s="118"/>
      <x:c r="M99" s="118"/>
      <x:c r="N99" s="118"/>
      <x:c r="O99" s="118"/>
      <x:c r="P99" s="118"/>
      <x:c r="Q99" s="118"/>
      <x:c r="R99" s="118"/>
      <x:c r="S99" s="118"/>
      <x:c r="T99" s="118"/>
      <x:c r="U99" s="118"/>
      <x:c r="V99" s="118"/>
      <x:c r="W99" s="118"/>
      <x:c r="X99" s="118"/>
      <x:c r="Y99" s="118"/>
      <x:c r="Z99" s="118"/>
    </x:row>
    <x:row r="100">
      <x:c r="A100" s="118"/>
      <x:c r="B100" s="118"/>
      <x:c r="C100" s="118"/>
      <x:c r="D100" s="118"/>
      <x:c r="E100" s="118"/>
      <x:c r="F100" s="118"/>
      <x:c r="G100" s="118"/>
      <x:c r="H100" s="118"/>
      <x:c r="I100" s="118"/>
      <x:c r="J100" s="118"/>
      <x:c r="K100" s="118"/>
      <x:c r="L100" s="118"/>
      <x:c r="M100" s="118"/>
      <x:c r="N100" s="118"/>
      <x:c r="O100" s="118"/>
      <x:c r="P100" s="118"/>
      <x:c r="Q100" s="118"/>
      <x:c r="R100" s="118"/>
      <x:c r="S100" s="118"/>
      <x:c r="T100" s="118"/>
      <x:c r="U100" s="118"/>
      <x:c r="V100" s="118"/>
      <x:c r="W100" s="118"/>
      <x:c r="X100" s="118"/>
      <x:c r="Y100" s="118"/>
      <x:c r="Z100" s="118"/>
    </x:row>
  </x:sheetData>
  <x:mergeCells>
    <x:mergeCell ref="A1:D2"/>
    <x:mergeCell ref="A3:D3"/>
  </x:mergeCells>
  <x:conditionalFormatting sqref="B19:B19">
    <x:cfRule type="cellIs" dxfId="0" priority="1" operator="notEqual">
      <x:formula>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3" hidden="0" customWidth="1"/>
    <x:col min="4" max="4" width="11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5" hidden="0" customWidth="1"/>
    <x:col min="11" max="11" width="18" hidden="0" customWidth="1"/>
    <x:col min="12" max="12" width="12" hidden="0" customWidth="1"/>
  </x:cols>
  <x:sheetData>
    <x:row r="1" ht="18" customHeight="1">
      <x:c r="A1" s="376" t="str">
        <x:v>Verified Full-Dataset Segment Tables</x:v>
      </x:c>
      <x:c r="B1" s="376"/>
      <x:c r="C1" s="376"/>
      <x:c r="D1" s="376"/>
      <x:c r="E1" s="376"/>
      <x:c r="F1" s="376"/>
      <x:c r="G1" s="376"/>
      <x:c r="H1" s="376"/>
      <x:c r="I1" s="376"/>
      <x:c r="J1" s="376"/>
      <x:c r="K1" s="376"/>
      <x:c r="L1" s="376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 ht="18" customHeight="1">
      <x:c r="A2" s="374" t="str">
        <x:v>Verified full-dataset one-factor segment benchmarks used by the dashboard and pricing calculator</x:v>
      </x:c>
      <x:c r="B2" s="374"/>
      <x:c r="C2" s="374"/>
      <x:c r="D2" s="374"/>
      <x:c r="E2" s="374"/>
      <x:c r="F2" s="374"/>
      <x:c r="G2" s="374"/>
      <x:c r="H2" s="374"/>
      <x:c r="I2" s="374"/>
      <x:c r="J2" s="374"/>
      <x:c r="K2" s="374"/>
      <x:c r="L2" s="374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 ht="18" customHeight="1">
      <x:c r="A3" s="377" t="str">
        <x:v>Verified one-factor segment benchmarks used by the dashboard and illustrative pricing calculator</x:v>
      </x:c>
      <x:c r="B3" s="377"/>
      <x:c r="C3" s="377"/>
      <x:c r="D3" s="377"/>
      <x:c r="E3" s="377"/>
      <x:c r="F3" s="377"/>
      <x:c r="G3" s="377"/>
      <x:c r="H3" s="377"/>
      <x:c r="I3" s="377"/>
      <x:c r="J3" s="377"/>
      <x:c r="K3" s="377"/>
      <x:c r="L3" s="377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 ht="18" customHeight="1">
      <x:c r="A4" s="332" t="str">
        <x:v>Driver Age</x:v>
      </x:c>
      <x:c r="B4" s="332"/>
      <x:c r="C4" s="332"/>
      <x:c r="D4" s="332"/>
      <x:c r="E4" s="332"/>
      <x:c r="F4" s="332"/>
      <x:c r="G4" s="332"/>
      <x:c r="H4" s="332"/>
      <x:c r="I4" s="332"/>
      <x:c r="J4" s="332"/>
      <x:c r="K4" s="332"/>
      <x:c r="L4" s="332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 ht="30" customHeight="1">
      <x:c r="A5" s="248" t="str">
        <x:v>Segment</x:v>
      </x:c>
      <x:c r="B5" s="248" t="str">
        <x:v>Policies</x:v>
      </x:c>
      <x:c r="C5" s="248" t="str">
        <x:v>Exposure</x:v>
      </x:c>
      <x:c r="D5" s="248" t="str">
        <x:v>Claims</x:v>
      </x:c>
      <x:c r="E5" s="248" t="str">
        <x:v>Claim Frequency</x:v>
      </x:c>
      <x:c r="F5" s="248" t="str">
        <x:v>Claims / 100</x:v>
      </x:c>
      <x:c r="G5" s="248" t="str">
        <x:v>Claim Policy %</x:v>
      </x:c>
      <x:c r="H5" s="248" t="str">
        <x:v>Severity Claims</x:v>
      </x:c>
      <x:c r="I5" s="248" t="str">
        <x:v>Avg Severity</x:v>
      </x:c>
      <x:c r="J5" s="248" t="str">
        <x:v>Observed Loss Cost</x:v>
      </x:c>
      <x:c r="K5" s="248" t="str">
        <x:v>Indicated Pure Premium</x:v>
      </x:c>
      <x:c r="L5" s="248" t="str">
        <x:v>Relativity</x:v>
      </x:c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 ht="18" customHeight="1">
      <x:c r="A6" s="352" t="str">
        <x:v>18-25</x:v>
      </x:c>
      <x:c r="B6" s="340" t="n">
        <x:v>38895</x:v>
      </x:c>
      <x:c r="C6" s="341" t="n">
        <x:v>16227.9</x:v>
      </x:c>
      <x:c r="D6" s="340" t="n">
        <x:v>2841</x:v>
      </x:c>
      <x:c r="E6" s="354" t="n">
        <x:v>0.175069</x:v>
      </x:c>
      <x:c r="F6" s="356" t="n">
        <x:v>17.507</x:v>
      </x:c>
      <x:c r="G6" s="344" t="n">
        <x:v>0.06744</x:v>
      </x:c>
      <x:c r="H6" s="340" t="n">
        <x:v>2403</x:v>
      </x:c>
      <x:c r="I6" s="341" t="n">
        <x:v>5121.62</x:v>
      </x:c>
      <x:c r="J6" s="341" t="n">
        <x:v>758.4</x:v>
      </x:c>
      <x:c r="K6" s="341" t="n">
        <x:v>896.64</x:v>
      </x:c>
      <x:c r="L6" s="358" t="n">
        <x:v>3.93</x:v>
      </x:c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 ht="18" customHeight="1">
      <x:c r="A7" s="353" t="str">
        <x:v>26-35</x:v>
      </x:c>
      <x:c r="B7" s="346" t="n">
        <x:v>149183</x:v>
      </x:c>
      <x:c r="C7" s="347" t="n">
        <x:v>69266.78</x:v>
      </x:c>
      <x:c r="D7" s="346" t="n">
        <x:v>6662</x:v>
      </x:c>
      <x:c r="E7" s="355" t="n">
        <x:v>0.096179</x:v>
      </x:c>
      <x:c r="F7" s="357" t="n">
        <x:v>9.618</x:v>
      </x:c>
      <x:c r="G7" s="350" t="n">
        <x:v>0.042249999999999996</x:v>
      </x:c>
      <x:c r="H7" s="346" t="n">
        <x:v>5167</x:v>
      </x:c>
      <x:c r="I7" s="347" t="n">
        <x:v>2052.88</x:v>
      </x:c>
      <x:c r="J7" s="347" t="n">
        <x:v>153.14</x:v>
      </x:c>
      <x:c r="K7" s="347" t="n">
        <x:v>197.44</x:v>
      </x:c>
      <x:c r="L7" s="359" t="n">
        <x:v>0.865</x:v>
      </x:c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 ht="18" customHeight="1">
      <x:c r="A8" s="352" t="str">
        <x:v>36-45</x:v>
      </x:c>
      <x:c r="B8" s="340" t="n">
        <x:v>170352</x:v>
      </x:c>
      <x:c r="C8" s="341" t="n">
        <x:v>87702.34</x:v>
      </x:c>
      <x:c r="D8" s="340" t="n">
        <x:v>8397</x:v>
      </x:c>
      <x:c r="E8" s="354" t="n">
        <x:v>0.095744</x:v>
      </x:c>
      <x:c r="F8" s="356" t="n">
        <x:v>9.574</x:v>
      </x:c>
      <x:c r="G8" s="344" t="n">
        <x:v>0.046799999999999994</x:v>
      </x:c>
      <x:c r="H8" s="340" t="n">
        <x:v>6315</x:v>
      </x:c>
      <x:c r="I8" s="341" t="n">
        <x:v>1919.08</x:v>
      </x:c>
      <x:c r="J8" s="341" t="n">
        <x:v>138.18</x:v>
      </x:c>
      <x:c r="K8" s="341" t="n">
        <x:v>183.74</x:v>
      </x:c>
      <x:c r="L8" s="358" t="n">
        <x:v>0.805</x:v>
      </x:c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 ht="18" customHeight="1">
      <x:c r="A9" s="353" t="str">
        <x:v>46-55</x:v>
      </x:c>
      <x:c r="B9" s="346" t="n">
        <x:v>161899</x:v>
      </x:c>
      <x:c r="C9" s="347" t="n">
        <x:v>89268.78</x:v>
      </x:c>
      <x:c r="D9" s="346" t="n">
        <x:v>9256</x:v>
      </x:c>
      <x:c r="E9" s="355" t="n">
        <x:v>0.103687</x:v>
      </x:c>
      <x:c r="F9" s="357" t="n">
        <x:v>10.369</x:v>
      </x:c>
      <x:c r="G9" s="350" t="n">
        <x:v>0.053849999999999995</x:v>
      </x:c>
      <x:c r="H9" s="346" t="n">
        <x:v>6622</x:v>
      </x:c>
      <x:c r="I9" s="347" t="n">
        <x:v>1861.45</x:v>
      </x:c>
      <x:c r="J9" s="347" t="n">
        <x:v>138.08</x:v>
      </x:c>
      <x:c r="K9" s="347" t="n">
        <x:v>193.01</x:v>
      </x:c>
      <x:c r="L9" s="359" t="n">
        <x:v>0.846</x:v>
      </x:c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 ht="18" customHeight="1">
      <x:c r="A10" s="352" t="str">
        <x:v>56-65</x:v>
      </x:c>
      <x:c r="B10" s="340" t="n">
        <x:v>90691</x:v>
      </x:c>
      <x:c r="C10" s="341" t="n">
        <x:v>51775.55</x:v>
      </x:c>
      <x:c r="D10" s="340" t="n">
        <x:v>4748</x:v>
      </x:c>
      <x:c r="E10" s="354" t="n">
        <x:v>0.091704</x:v>
      </x:c>
      <x:c r="F10" s="356" t="n">
        <x:v>9.17</x:v>
      </x:c>
      <x:c r="G10" s="344" t="n">
        <x:v>0.049429999999999995</x:v>
      </x:c>
      <x:c r="H10" s="340" t="n">
        <x:v>3316</x:v>
      </x:c>
      <x:c r="I10" s="341" t="n">
        <x:v>1890.11</x:v>
      </x:c>
      <x:c r="J10" s="341" t="n">
        <x:v>121.05</x:v>
      </x:c>
      <x:c r="K10" s="341" t="n">
        <x:v>173.33</x:v>
      </x:c>
      <x:c r="L10" s="358" t="n">
        <x:v>0.76</x:v>
      </x:c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 ht="18" customHeight="1">
      <x:c r="A11" s="353" t="str">
        <x:v>66+</x:v>
      </x:c>
      <x:c r="B11" s="346" t="n">
        <x:v>66993</x:v>
      </x:c>
      <x:c r="C11" s="347" t="n">
        <x:v>44258.1</x:v>
      </x:c>
      <x:c r="D11" s="346" t="n">
        <x:v>4198</x:v>
      </x:c>
      <x:c r="E11" s="355" t="n">
        <x:v>0.094853</x:v>
      </x:c>
      <x:c r="F11" s="357" t="n">
        <x:v>9.485</x:v>
      </x:c>
      <x:c r="G11" s="350" t="n">
        <x:v>0.05913</x:v>
      </x:c>
      <x:c r="H11" s="346" t="n">
        <x:v>2621</x:v>
      </x:c>
      <x:c r="I11" s="347" t="n">
        <x:v>2396.64</x:v>
      </x:c>
      <x:c r="J11" s="347" t="n">
        <x:v>141.93</x:v>
      </x:c>
      <x:c r="K11" s="347" t="n">
        <x:v>227.33</x:v>
      </x:c>
      <x:c r="L11" s="359" t="n">
        <x:v>0.996</x:v>
      </x:c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 ht="18" customHeight="1">
      <x:c r="A12" s="174"/>
      <x:c r="B12" s="174"/>
      <x:c r="C12" s="174"/>
      <x:c r="D12" s="174"/>
      <x:c r="E12" s="174"/>
      <x:c r="F12" s="174"/>
      <x:c r="G12" s="174"/>
      <x:c r="H12" s="174"/>
      <x:c r="I12" s="174"/>
      <x:c r="J12" s="174"/>
      <x:c r="K12" s="174"/>
      <x:c r="L12" s="174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 ht="18" customHeight="1">
      <x:c r="A13" s="174"/>
      <x:c r="B13" s="174"/>
      <x:c r="C13" s="174"/>
      <x:c r="D13" s="174"/>
      <x:c r="E13" s="174"/>
      <x:c r="F13" s="174"/>
      <x:c r="G13" s="174"/>
      <x:c r="H13" s="174"/>
      <x:c r="I13" s="174"/>
      <x:c r="J13" s="174"/>
      <x:c r="K13" s="174"/>
      <x:c r="L13" s="174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 ht="18" customHeight="1">
      <x:c r="A14" s="332" t="str">
        <x:v>Bonus-Malus</x:v>
      </x:c>
      <x:c r="B14" s="332"/>
      <x:c r="C14" s="332"/>
      <x:c r="D14" s="332"/>
      <x:c r="E14" s="332"/>
      <x:c r="F14" s="332"/>
      <x:c r="G14" s="332"/>
      <x:c r="H14" s="332"/>
      <x:c r="I14" s="332"/>
      <x:c r="J14" s="332"/>
      <x:c r="K14" s="332"/>
      <x:c r="L14" s="332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 ht="30" customHeight="1">
      <x:c r="A15" s="248" t="str">
        <x:v>Segment</x:v>
      </x:c>
      <x:c r="B15" s="248" t="str">
        <x:v>Policies</x:v>
      </x:c>
      <x:c r="C15" s="248" t="str">
        <x:v>Exposure</x:v>
      </x:c>
      <x:c r="D15" s="248" t="str">
        <x:v>Claims</x:v>
      </x:c>
      <x:c r="E15" s="248" t="str">
        <x:v>Claim Frequency</x:v>
      </x:c>
      <x:c r="F15" s="248" t="str">
        <x:v>Claims / 100</x:v>
      </x:c>
      <x:c r="G15" s="248" t="str">
        <x:v>Claim Policy %</x:v>
      </x:c>
      <x:c r="H15" s="248" t="str">
        <x:v>Severity Claims</x:v>
      </x:c>
      <x:c r="I15" s="248" t="str">
        <x:v>Avg Severity</x:v>
      </x:c>
      <x:c r="J15" s="248" t="str">
        <x:v>Observed Loss Cost</x:v>
      </x:c>
      <x:c r="K15" s="248" t="str">
        <x:v>Indicated Pure Premium</x:v>
      </x:c>
      <x:c r="L15" s="248" t="str">
        <x:v>Relativity</x:v>
      </x:c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 ht="18" customHeight="1">
      <x:c r="A16" s="352" t="str">
        <x:v>&lt;=50</x:v>
      </x:c>
      <x:c r="B16" s="340" t="n">
        <x:v>384156</x:v>
      </x:c>
      <x:c r="C16" s="341" t="n">
        <x:v>225233.13</x:v>
      </x:c>
      <x:c r="D16" s="340" t="n">
        <x:v>18056</x:v>
      </x:c>
      <x:c r="E16" s="354" t="n">
        <x:v>0.080166</x:v>
      </x:c>
      <x:c r="F16" s="356" t="n">
        <x:v>8.017</x:v>
      </x:c>
      <x:c r="G16" s="344" t="n">
        <x:v>0.044640000000000006</x:v>
      </x:c>
      <x:c r="H16" s="340" t="n">
        <x:v>11592</x:v>
      </x:c>
      <x:c r="I16" s="341" t="n">
        <x:v>1922.22</x:v>
      </x:c>
      <x:c r="J16" s="341" t="n">
        <x:v>98.93</x:v>
      </x:c>
      <x:c r="K16" s="341" t="n">
        <x:v>154.1</x:v>
      </x:c>
      <x:c r="L16" s="358" t="n">
        <x:v>0.675</x:v>
      </x:c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 ht="18" customHeight="1">
      <x:c r="A17" s="353" t="str">
        <x:v>51-75</x:v>
      </x:c>
      <x:c r="B17" s="346" t="n">
        <x:v>175012</x:v>
      </x:c>
      <x:c r="C17" s="347" t="n">
        <x:v>84874.66</x:v>
      </x:c>
      <x:c r="D17" s="346" t="n">
        <x:v>9614</x:v>
      </x:c>
      <x:c r="E17" s="355" t="n">
        <x:v>0.113273</x:v>
      </x:c>
      <x:c r="F17" s="357" t="n">
        <x:v>11.327</x:v>
      </x:c>
      <x:c r="G17" s="350" t="n">
        <x:v>0.05193</x:v>
      </x:c>
      <x:c r="H17" s="346" t="n">
        <x:v>7832</x:v>
      </x:c>
      <x:c r="I17" s="347" t="n">
        <x:v>1997.27</x:v>
      </x:c>
      <x:c r="J17" s="347" t="n">
        <x:v>184.3</x:v>
      </x:c>
      <x:c r="K17" s="347" t="n">
        <x:v>226.24</x:v>
      </x:c>
      <x:c r="L17" s="359" t="n">
        <x:v>0.992</x:v>
      </x:c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 ht="18" customHeight="1">
      <x:c r="A18" s="352" t="str">
        <x:v>76-100</x:v>
      </x:c>
      <x:c r="B18" s="340" t="n">
        <x:v>111051</x:v>
      </x:c>
      <x:c r="C18" s="341" t="n">
        <x:v>44820.34</x:v>
      </x:c>
      <x:c r="D18" s="340" t="n">
        <x:v>7090</x:v>
      </x:c>
      <x:c r="E18" s="354" t="n">
        <x:v>0.158187</x:v>
      </x:c>
      <x:c r="F18" s="356" t="n">
        <x:v>15.819</x:v>
      </x:c>
      <x:c r="G18" s="344" t="n">
        <x:v>0.05953</x:v>
      </x:c>
      <x:c r="H18" s="340" t="n">
        <x:v>5764</x:v>
      </x:c>
      <x:c r="I18" s="341" t="n">
        <x:v>3369.93</x:v>
      </x:c>
      <x:c r="J18" s="341" t="n">
        <x:v>433.38</x:v>
      </x:c>
      <x:c r="K18" s="341" t="n">
        <x:v>533.08</x:v>
      </x:c>
      <x:c r="L18" s="358" t="n">
        <x:v>2.337</x:v>
      </x:c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 ht="18" customHeight="1">
      <x:c r="A19" s="353" t="str">
        <x:v>&gt;100</x:v>
      </x:c>
      <x:c r="B19" s="346" t="n">
        <x:v>7794</x:v>
      </x:c>
      <x:c r="C19" s="347" t="n">
        <x:v>3571.32</x:v>
      </x:c>
      <x:c r="D19" s="346" t="n">
        <x:v>1342</x:v>
      </x:c>
      <x:c r="E19" s="355" t="n">
        <x:v>0.375772</x:v>
      </x:c>
      <x:c r="F19" s="357" t="n">
        <x:v>37.577</x:v>
      </x:c>
      <x:c r="G19" s="350" t="n">
        <x:v>0.15563000000000002</x:v>
      </x:c>
      <x:c r="H19" s="346" t="n">
        <x:v>1256</x:v>
      </x:c>
      <x:c r="I19" s="347" t="n">
        <x:v>2038.16</x:v>
      </x:c>
      <x:c r="J19" s="347" t="n">
        <x:v>716.8</x:v>
      </x:c>
      <x:c r="K19" s="347" t="n">
        <x:v>765.88</x:v>
      </x:c>
      <x:c r="L19" s="359" t="n">
        <x:v>3.357</x:v>
      </x:c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 ht="18" customHeight="1">
      <x:c r="A20" s="174"/>
      <x:c r="B20" s="174"/>
      <x:c r="C20" s="174"/>
      <x:c r="D20" s="174"/>
      <x:c r="E20" s="174"/>
      <x:c r="F20" s="174"/>
      <x:c r="G20" s="174"/>
      <x:c r="H20" s="174"/>
      <x:c r="I20" s="174"/>
      <x:c r="J20" s="174"/>
      <x:c r="K20" s="174"/>
      <x:c r="L20" s="174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 ht="18" customHeight="1">
      <x:c r="A21" s="174"/>
      <x:c r="B21" s="174"/>
      <x:c r="C21" s="174"/>
      <x:c r="D21" s="174"/>
      <x:c r="E21" s="174"/>
      <x:c r="F21" s="174"/>
      <x:c r="G21" s="174"/>
      <x:c r="H21" s="174"/>
      <x:c r="I21" s="174"/>
      <x:c r="J21" s="174"/>
      <x:c r="K21" s="174"/>
      <x:c r="L21" s="174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 ht="18" customHeight="1">
      <x:c r="A22" s="332" t="str">
        <x:v>Area</x:v>
      </x:c>
      <x:c r="B22" s="332"/>
      <x:c r="C22" s="332"/>
      <x:c r="D22" s="332"/>
      <x:c r="E22" s="332"/>
      <x:c r="F22" s="332"/>
      <x:c r="G22" s="332"/>
      <x:c r="H22" s="332"/>
      <x:c r="I22" s="332"/>
      <x:c r="J22" s="332"/>
      <x:c r="K22" s="332"/>
      <x:c r="L22" s="332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 ht="30" customHeight="1">
      <x:c r="A23" s="248" t="str">
        <x:v>Segment</x:v>
      </x:c>
      <x:c r="B23" s="248" t="str">
        <x:v>Policies</x:v>
      </x:c>
      <x:c r="C23" s="248" t="str">
        <x:v>Exposure</x:v>
      </x:c>
      <x:c r="D23" s="248" t="str">
        <x:v>Claims</x:v>
      </x:c>
      <x:c r="E23" s="248" t="str">
        <x:v>Claim Frequency</x:v>
      </x:c>
      <x:c r="F23" s="248" t="str">
        <x:v>Claims / 100</x:v>
      </x:c>
      <x:c r="G23" s="248" t="str">
        <x:v>Claim Policy %</x:v>
      </x:c>
      <x:c r="H23" s="248" t="str">
        <x:v>Severity Claims</x:v>
      </x:c>
      <x:c r="I23" s="248" t="str">
        <x:v>Avg Severity</x:v>
      </x:c>
      <x:c r="J23" s="248" t="str">
        <x:v>Observed Loss Cost</x:v>
      </x:c>
      <x:c r="K23" s="248" t="str">
        <x:v>Indicated Pure Premium</x:v>
      </x:c>
      <x:c r="L23" s="248" t="str">
        <x:v>Relativity</x:v>
      </x:c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 ht="18" customHeight="1">
      <x:c r="A24" s="352" t="str">
        <x:v>D</x:v>
      </x:c>
      <x:c r="B24" s="340" t="n">
        <x:v>151596</x:v>
      </x:c>
      <x:c r="C24" s="341" t="n">
        <x:v>77120.19</x:v>
      </x:c>
      <x:c r="D24" s="340" t="n">
        <x:v>8428</x:v>
      </x:c>
      <x:c r="E24" s="354" t="n">
        <x:v>0.109284</x:v>
      </x:c>
      <x:c r="F24" s="356" t="n">
        <x:v>10.928</x:v>
      </x:c>
      <x:c r="G24" s="344" t="n">
        <x:v>0.05206</x:v>
      </x:c>
      <x:c r="H24" s="340" t="n">
        <x:v>6458</x:v>
      </x:c>
      <x:c r="I24" s="341" t="n">
        <x:v>2243.19</x:v>
      </x:c>
      <x:c r="J24" s="341" t="n">
        <x:v>187.84</x:v>
      </x:c>
      <x:c r="K24" s="341" t="n">
        <x:v>245.14</x:v>
      </x:c>
      <x:c r="L24" s="358" t="n">
        <x:v>1.075</x:v>
      </x:c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 ht="18" customHeight="1">
      <x:c r="A25" s="353" t="str">
        <x:v>B</x:v>
      </x:c>
      <x:c r="B25" s="346" t="n">
        <x:v>75459</x:v>
      </x:c>
      <x:c r="C25" s="347" t="n">
        <x:v>43012.32</x:v>
      </x:c>
      <x:c r="D25" s="346" t="n">
        <x:v>3800</x:v>
      </x:c>
      <x:c r="E25" s="355" t="n">
        <x:v>0.088347</x:v>
      </x:c>
      <x:c r="F25" s="357" t="n">
        <x:v>8.835</x:v>
      </x:c>
      <x:c r="G25" s="350" t="n">
        <x:v>0.04811</x:v>
      </x:c>
      <x:c r="H25" s="346" t="n">
        <x:v>2633</x:v>
      </x:c>
      <x:c r="I25" s="347" t="n">
        <x:v>3370.29</x:v>
      </x:c>
      <x:c r="J25" s="347" t="n">
        <x:v>206.31</x:v>
      </x:c>
      <x:c r="K25" s="347" t="n">
        <x:v>297.75</x:v>
      </x:c>
      <x:c r="L25" s="359" t="n">
        <x:v>1.305</x:v>
      </x:c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 ht="18" customHeight="1">
      <x:c r="A26" s="352" t="str">
        <x:v>E</x:v>
      </x:c>
      <x:c r="B26" s="340" t="n">
        <x:v>137167</x:v>
      </x:c>
      <x:c r="C26" s="341" t="n">
        <x:v>63819.31</x:v>
      </x:c>
      <x:c r="D26" s="340" t="n">
        <x:v>7805</x:v>
      </x:c>
      <x:c r="E26" s="354" t="n">
        <x:v>0.122298</x:v>
      </x:c>
      <x:c r="F26" s="356" t="n">
        <x:v>12.23</x:v>
      </x:c>
      <x:c r="G26" s="344" t="n">
        <x:v>0.05319</x:v>
      </x:c>
      <x:c r="H26" s="340" t="n">
        <x:v>6122</x:v>
      </x:c>
      <x:c r="I26" s="341" t="n">
        <x:v>2126.34</x:v>
      </x:c>
      <x:c r="J26" s="341" t="n">
        <x:v>203.97</x:v>
      </x:c>
      <x:c r="K26" s="341" t="n">
        <x:v>260.05</x:v>
      </x:c>
      <x:c r="L26" s="358" t="n">
        <x:v>1.14</x:v>
      </x:c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 ht="18" customHeight="1">
      <x:c r="A27" s="353" t="str">
        <x:v>C</x:v>
      </x:c>
      <x:c r="B27" s="346" t="n">
        <x:v>191880</x:v>
      </x:c>
      <x:c r="C27" s="347" t="n">
        <x:v>104449</x:v>
      </x:c>
      <x:c r="D27" s="346" t="n">
        <x:v>9875</x:v>
      </x:c>
      <x:c r="E27" s="355" t="n">
        <x:v>0.094544</x:v>
      </x:c>
      <x:c r="F27" s="357" t="n">
        <x:v>9.454</x:v>
      </x:c>
      <x:c r="G27" s="350" t="n">
        <x:v>0.048760000000000005</x:v>
      </x:c>
      <x:c r="H27" s="346" t="n">
        <x:v>7093</x:v>
      </x:c>
      <x:c r="I27" s="347" t="n">
        <x:v>2060.07</x:v>
      </x:c>
      <x:c r="J27" s="347" t="n">
        <x:v>139.9</x:v>
      </x:c>
      <x:c r="K27" s="347" t="n">
        <x:v>194.77</x:v>
      </x:c>
      <x:c r="L27" s="359" t="n">
        <x:v>0.854</x:v>
      </x:c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 ht="18" customHeight="1">
      <x:c r="A28" s="352" t="str">
        <x:v>F</x:v>
      </x:c>
      <x:c r="B28" s="340" t="n">
        <x:v>17954</x:v>
      </x:c>
      <x:c r="C28" s="341" t="n">
        <x:v>8129.23</x:v>
      </x:c>
      <x:c r="D28" s="340" t="n">
        <x:v>1131</x:v>
      </x:c>
      <x:c r="E28" s="354" t="n">
        <x:v>0.139127</x:v>
      </x:c>
      <x:c r="F28" s="356" t="n">
        <x:v>13.913</x:v>
      </x:c>
      <x:c r="G28" s="344" t="n">
        <x:v>0.05876000000000001</x:v>
      </x:c>
      <x:c r="H28" s="340" t="n">
        <x:v>774</x:v>
      </x:c>
      <x:c r="I28" s="341" t="n">
        <x:v>1524.04</x:v>
      </x:c>
      <x:c r="J28" s="341" t="n">
        <x:v>145.11</x:v>
      </x:c>
      <x:c r="K28" s="341" t="n">
        <x:v>212.04</x:v>
      </x:c>
      <x:c r="L28" s="358" t="n">
        <x:v>0.929</x:v>
      </x:c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 ht="18" customHeight="1">
      <x:c r="A29" s="353" t="str">
        <x:v>A</x:v>
      </x:c>
      <x:c r="B29" s="346" t="n">
        <x:v>103957</x:v>
      </x:c>
      <x:c r="C29" s="347" t="n">
        <x:v>61969.38</x:v>
      </x:c>
      <x:c r="D29" s="346" t="n">
        <x:v>5063</x:v>
      </x:c>
      <x:c r="E29" s="355" t="n">
        <x:v>0.081702</x:v>
      </x:c>
      <x:c r="F29" s="357" t="n">
        <x:v>8.17</x:v>
      </x:c>
      <x:c r="G29" s="350" t="n">
        <x:v>0.046470000000000004</x:v>
      </x:c>
      <x:c r="H29" s="346" t="n">
        <x:v>3364</x:v>
      </x:c>
      <x:c r="I29" s="347" t="n">
        <x:v>2300.72</x:v>
      </x:c>
      <x:c r="J29" s="347" t="n">
        <x:v>124.89</x:v>
      </x:c>
      <x:c r="K29" s="347" t="n">
        <x:v>187.97</x:v>
      </x:c>
      <x:c r="L29" s="359" t="n">
        <x:v>0.824</x:v>
      </x:c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 ht="18" customHeight="1">
      <x:c r="A30" s="174"/>
      <x:c r="B30" s="174"/>
      <x:c r="C30" s="174"/>
      <x:c r="D30" s="174"/>
      <x:c r="E30" s="174"/>
      <x:c r="F30" s="174"/>
      <x:c r="G30" s="174"/>
      <x:c r="H30" s="174"/>
      <x:c r="I30" s="174"/>
      <x:c r="J30" s="174"/>
      <x:c r="K30" s="174"/>
      <x:c r="L30" s="174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 ht="18" customHeight="1">
      <x:c r="A31" s="174"/>
      <x:c r="B31" s="174"/>
      <x:c r="C31" s="174"/>
      <x:c r="D31" s="174"/>
      <x:c r="E31" s="174"/>
      <x:c r="F31" s="174"/>
      <x:c r="G31" s="174"/>
      <x:c r="H31" s="174"/>
      <x:c r="I31" s="174"/>
      <x:c r="J31" s="174"/>
      <x:c r="K31" s="174"/>
      <x:c r="L31" s="174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 ht="18" customHeight="1">
      <x:c r="A32" s="332" t="str">
        <x:v>Vehicle Age</x:v>
      </x:c>
      <x:c r="B32" s="332"/>
      <x:c r="C32" s="332"/>
      <x:c r="D32" s="332"/>
      <x:c r="E32" s="332"/>
      <x:c r="F32" s="332"/>
      <x:c r="G32" s="332"/>
      <x:c r="H32" s="332"/>
      <x:c r="I32" s="332"/>
      <x:c r="J32" s="332"/>
      <x:c r="K32" s="332"/>
      <x:c r="L32" s="332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 ht="30" customHeight="1">
      <x:c r="A33" s="248" t="str">
        <x:v>Segment</x:v>
      </x:c>
      <x:c r="B33" s="248" t="str">
        <x:v>Policies</x:v>
      </x:c>
      <x:c r="C33" s="248" t="str">
        <x:v>Exposure</x:v>
      </x:c>
      <x:c r="D33" s="248" t="str">
        <x:v>Claims</x:v>
      </x:c>
      <x:c r="E33" s="248" t="str">
        <x:v>Claim Frequency</x:v>
      </x:c>
      <x:c r="F33" s="248" t="str">
        <x:v>Claims / 100</x:v>
      </x:c>
      <x:c r="G33" s="248" t="str">
        <x:v>Claim Policy %</x:v>
      </x:c>
      <x:c r="H33" s="248" t="str">
        <x:v>Severity Claims</x:v>
      </x:c>
      <x:c r="I33" s="248" t="str">
        <x:v>Avg Severity</x:v>
      </x:c>
      <x:c r="J33" s="248" t="str">
        <x:v>Observed Loss Cost</x:v>
      </x:c>
      <x:c r="K33" s="248" t="str">
        <x:v>Indicated Pure Premium</x:v>
      </x:c>
      <x:c r="L33" s="248" t="str">
        <x:v>Relativity</x:v>
      </x:c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 ht="18" customHeight="1">
      <x:c r="A34" s="352" t="str">
        <x:v>0-2</x:v>
      </x:c>
      <x:c r="B34" s="340" t="n">
        <x:v>188147</x:v>
      </x:c>
      <x:c r="C34" s="341" t="n">
        <x:v>79176.06</x:v>
      </x:c>
      <x:c r="D34" s="340" t="n">
        <x:v>10904</x:v>
      </x:c>
      <x:c r="E34" s="354" t="n">
        <x:v>0.137718</x:v>
      </x:c>
      <x:c r="F34" s="356" t="n">
        <x:v>13.772</x:v>
      </x:c>
      <x:c r="G34" s="344" t="n">
        <x:v>0.05448</x:v>
      </x:c>
      <x:c r="H34" s="340" t="n">
        <x:v>5747</x:v>
      </x:c>
      <x:c r="I34" s="341" t="n">
        <x:v>2140.19</x:v>
      </x:c>
      <x:c r="J34" s="341" t="n">
        <x:v>155.35</x:v>
      </x:c>
      <x:c r="K34" s="341" t="n">
        <x:v>294.74</x:v>
      </x:c>
      <x:c r="L34" s="358" t="n">
        <x:v>1.292</x:v>
      </x:c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 ht="18" customHeight="1">
      <x:c r="A35" s="353" t="str">
        <x:v>3-5</x:v>
      </x:c>
      <x:c r="B35" s="346" t="n">
        <x:v>132490</x:v>
      </x:c>
      <x:c r="C35" s="347" t="n">
        <x:v>72040.12</x:v>
      </x:c>
      <x:c r="D35" s="346" t="n">
        <x:v>6743</x:v>
      </x:c>
      <x:c r="E35" s="355" t="n">
        <x:v>0.093601</x:v>
      </x:c>
      <x:c r="F35" s="357" t="n">
        <x:v>9.36</x:v>
      </x:c>
      <x:c r="G35" s="350" t="n">
        <x:v>0.047939999999999997</x:v>
      </x:c>
      <x:c r="H35" s="346" t="n">
        <x:v>5344</x:v>
      </x:c>
      <x:c r="I35" s="347" t="n">
        <x:v>1974.72</x:v>
      </x:c>
      <x:c r="J35" s="347" t="n">
        <x:v>146.49</x:v>
      </x:c>
      <x:c r="K35" s="347" t="n">
        <x:v>184.83</x:v>
      </x:c>
      <x:c r="L35" s="359" t="n">
        <x:v>0.81</x:v>
      </x:c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 ht="18" customHeight="1">
      <x:c r="A36" s="352" t="str">
        <x:v>6-10</x:v>
      </x:c>
      <x:c r="B36" s="340" t="n">
        <x:v>171594</x:v>
      </x:c>
      <x:c r="C36" s="341" t="n">
        <x:v>99008.92</x:v>
      </x:c>
      <x:c r="D36" s="340" t="n">
        <x:v>9846</x:v>
      </x:c>
      <x:c r="E36" s="354" t="n">
        <x:v>0.099446</x:v>
      </x:c>
      <x:c r="F36" s="356" t="n">
        <x:v>9.945</x:v>
      </x:c>
      <x:c r="G36" s="344" t="n">
        <x:v>0.05423</x:v>
      </x:c>
      <x:c r="H36" s="340" t="n">
        <x:v>8009</x:v>
      </x:c>
      <x:c r="I36" s="341" t="n">
        <x:v>1973.41</x:v>
      </x:c>
      <x:c r="J36" s="341" t="n">
        <x:v>159.63</x:v>
      </x:c>
      <x:c r="K36" s="341" t="n">
        <x:v>196.25</x:v>
      </x:c>
      <x:c r="L36" s="358" t="n">
        <x:v>0.86</x:v>
      </x:c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 ht="18" customHeight="1">
      <x:c r="A37" s="353" t="str">
        <x:v>11+</x:v>
      </x:c>
      <x:c r="B37" s="346" t="n">
        <x:v>185782</x:v>
      </x:c>
      <x:c r="C37" s="347" t="n">
        <x:v>108274.35</x:v>
      </x:c>
      <x:c r="D37" s="346" t="n">
        <x:v>8609</x:v>
      </x:c>
      <x:c r="E37" s="355" t="n">
        <x:v>0.079511</x:v>
      </x:c>
      <x:c r="F37" s="357" t="n">
        <x:v>7.951</x:v>
      </x:c>
      <x:c r="G37" s="350" t="n">
        <x:v>0.04386999999999999</x:v>
      </x:c>
      <x:c r="H37" s="346" t="n">
        <x:v>7344</x:v>
      </x:c>
      <x:c r="I37" s="347" t="n">
        <x:v>2893.73</x:v>
      </x:c>
      <x:c r="J37" s="347" t="n">
        <x:v>196.28</x:v>
      </x:c>
      <x:c r="K37" s="347" t="n">
        <x:v>230.08</x:v>
      </x:c>
      <x:c r="L37" s="359" t="n">
        <x:v>1.009</x:v>
      </x:c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 ht="18" customHeight="1">
      <x:c r="A38" s="174"/>
      <x:c r="B38" s="174"/>
      <x:c r="C38" s="174"/>
      <x:c r="D38" s="174"/>
      <x:c r="E38" s="174"/>
      <x:c r="F38" s="174"/>
      <x:c r="G38" s="174"/>
      <x:c r="H38" s="174"/>
      <x:c r="I38" s="174"/>
      <x:c r="J38" s="174"/>
      <x:c r="K38" s="174"/>
      <x:c r="L38" s="174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 ht="18" customHeight="1">
      <x:c r="A39" s="174"/>
      <x:c r="B39" s="174"/>
      <x:c r="C39" s="174"/>
      <x:c r="D39" s="174"/>
      <x:c r="E39" s="174"/>
      <x:c r="F39" s="174"/>
      <x:c r="G39" s="174"/>
      <x:c r="H39" s="174"/>
      <x:c r="I39" s="174"/>
      <x:c r="J39" s="174"/>
      <x:c r="K39" s="174"/>
      <x:c r="L39" s="174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 ht="18" customHeight="1">
      <x:c r="A40" s="332" t="str">
        <x:v>Fuel Type</x:v>
      </x:c>
      <x:c r="B40" s="332"/>
      <x:c r="C40" s="332"/>
      <x:c r="D40" s="332"/>
      <x:c r="E40" s="332"/>
      <x:c r="F40" s="332"/>
      <x:c r="G40" s="332"/>
      <x:c r="H40" s="332"/>
      <x:c r="I40" s="332"/>
      <x:c r="J40" s="332"/>
      <x:c r="K40" s="332"/>
      <x:c r="L40" s="332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 ht="30" customHeight="1">
      <x:c r="A41" s="248" t="str">
        <x:v>Segment</x:v>
      </x:c>
      <x:c r="B41" s="248" t="str">
        <x:v>Policies</x:v>
      </x:c>
      <x:c r="C41" s="248" t="str">
        <x:v>Exposure</x:v>
      </x:c>
      <x:c r="D41" s="248" t="str">
        <x:v>Claims</x:v>
      </x:c>
      <x:c r="E41" s="248" t="str">
        <x:v>Claim Frequency</x:v>
      </x:c>
      <x:c r="F41" s="248" t="str">
        <x:v>Claims / 100</x:v>
      </x:c>
      <x:c r="G41" s="248" t="str">
        <x:v>Claim Policy %</x:v>
      </x:c>
      <x:c r="H41" s="248" t="str">
        <x:v>Severity Claims</x:v>
      </x:c>
      <x:c r="I41" s="248" t="str">
        <x:v>Avg Severity</x:v>
      </x:c>
      <x:c r="J41" s="248" t="str">
        <x:v>Observed Loss Cost</x:v>
      </x:c>
      <x:c r="K41" s="248" t="str">
        <x:v>Indicated Pure Premium</x:v>
      </x:c>
      <x:c r="L41" s="248" t="str">
        <x:v>Relativity</x:v>
      </x:c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 ht="18" customHeight="1">
      <x:c r="A42" s="352" t="str">
        <x:v>Regular</x:v>
      </x:c>
      <x:c r="B42" s="340" t="n">
        <x:v>345877</x:v>
      </x:c>
      <x:c r="C42" s="341" t="n">
        <x:v>187838.55</x:v>
      </x:c>
      <x:c r="D42" s="340" t="n">
        <x:v>19454</x:v>
      </x:c>
      <x:c r="E42" s="354" t="n">
        <x:v>0.103568</x:v>
      </x:c>
      <x:c r="F42" s="356" t="n">
        <x:v>10.357</x:v>
      </x:c>
      <x:c r="G42" s="344" t="n">
        <x:v>0.05306</x:v>
      </x:c>
      <x:c r="H42" s="340" t="n">
        <x:v>12994</x:v>
      </x:c>
      <x:c r="I42" s="341" t="n">
        <x:v>2486.88</x:v>
      </x:c>
      <x:c r="J42" s="341" t="n">
        <x:v>172.03</x:v>
      </x:c>
      <x:c r="K42" s="341" t="n">
        <x:v>257.56</x:v>
      </x:c>
      <x:c r="L42" s="358" t="n">
        <x:v>1.129</x:v>
      </x:c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 ht="18" customHeight="1">
      <x:c r="A43" s="353" t="str">
        <x:v>Diesel</x:v>
      </x:c>
      <x:c r="B43" s="346" t="n">
        <x:v>332136</x:v>
      </x:c>
      <x:c r="C43" s="347" t="n">
        <x:v>170660.89</x:v>
      </x:c>
      <x:c r="D43" s="346" t="n">
        <x:v>16648</x:v>
      </x:c>
      <x:c r="E43" s="355" t="n">
        <x:v>0.09755</x:v>
      </x:c>
      <x:c r="F43" s="357" t="n">
        <x:v>9.755</x:v>
      </x:c>
      <x:c r="G43" s="350" t="n">
        <x:v>0.0473</x:v>
      </x:c>
      <x:c r="H43" s="346" t="n">
        <x:v>13450</x:v>
      </x:c>
      <x:c r="I43" s="347" t="n">
        <x:v>2051.65</x:v>
      </x:c>
      <x:c r="J43" s="347" t="n">
        <x:v>161.69</x:v>
      </x:c>
      <x:c r="K43" s="347" t="n">
        <x:v>200.14</x:v>
      </x:c>
      <x:c r="L43" s="359" t="n">
        <x:v>0.877</x:v>
      </x:c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 ht="18" customHeight="1">
      <x:c r="A44" s="174"/>
      <x:c r="B44" s="174"/>
      <x:c r="C44" s="174"/>
      <x:c r="D44" s="174"/>
      <x:c r="E44" s="174"/>
      <x:c r="F44" s="174"/>
      <x:c r="G44" s="174"/>
      <x:c r="H44" s="174"/>
      <x:c r="I44" s="174"/>
      <x:c r="J44" s="174"/>
      <x:c r="K44" s="174"/>
      <x:c r="L44" s="174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 ht="18" customHeight="1">
      <x:c r="A45" s="174"/>
      <x:c r="B45" s="174"/>
      <x:c r="C45" s="174"/>
      <x:c r="D45" s="174"/>
      <x:c r="E45" s="174"/>
      <x:c r="F45" s="174"/>
      <x:c r="G45" s="174"/>
      <x:c r="H45" s="174"/>
      <x:c r="I45" s="174"/>
      <x:c r="J45" s="174"/>
      <x:c r="K45" s="174"/>
      <x:c r="L45" s="174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 ht="18" customHeight="1">
      <x:c r="A46" s="332" t="str">
        <x:v>Vehicle Power</x:v>
      </x:c>
      <x:c r="B46" s="332"/>
      <x:c r="C46" s="332"/>
      <x:c r="D46" s="332"/>
      <x:c r="E46" s="332"/>
      <x:c r="F46" s="332"/>
      <x:c r="G46" s="332"/>
      <x:c r="H46" s="332"/>
      <x:c r="I46" s="332"/>
      <x:c r="J46" s="332"/>
      <x:c r="K46" s="332"/>
      <x:c r="L46" s="332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 ht="30" customHeight="1">
      <x:c r="A47" s="248" t="str">
        <x:v>Segment</x:v>
      </x:c>
      <x:c r="B47" s="248" t="str">
        <x:v>Policies</x:v>
      </x:c>
      <x:c r="C47" s="248" t="str">
        <x:v>Exposure</x:v>
      </x:c>
      <x:c r="D47" s="248" t="str">
        <x:v>Claims</x:v>
      </x:c>
      <x:c r="E47" s="248" t="str">
        <x:v>Claim Frequency</x:v>
      </x:c>
      <x:c r="F47" s="248" t="str">
        <x:v>Claims / 100</x:v>
      </x:c>
      <x:c r="G47" s="248" t="str">
        <x:v>Claim Policy %</x:v>
      </x:c>
      <x:c r="H47" s="248" t="str">
        <x:v>Severity Claims</x:v>
      </x:c>
      <x:c r="I47" s="248" t="str">
        <x:v>Avg Severity</x:v>
      </x:c>
      <x:c r="J47" s="248" t="str">
        <x:v>Observed Loss Cost</x:v>
      </x:c>
      <x:c r="K47" s="248" t="str">
        <x:v>Indicated Pure Premium</x:v>
      </x:c>
      <x:c r="L47" s="248" t="str">
        <x:v>Relativity</x:v>
      </x:c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 ht="18" customHeight="1">
      <x:c r="A48" s="352" t="str">
        <x:v>4-6</x:v>
      </x:c>
      <x:c r="B48" s="340" t="n">
        <x:v>389146</x:v>
      </x:c>
      <x:c r="C48" s="341" t="n">
        <x:v>210771.2</x:v>
      </x:c>
      <x:c r="D48" s="340" t="n">
        <x:v>21358</x:v>
      </x:c>
      <x:c r="E48" s="354" t="n">
        <x:v>0.101333</x:v>
      </x:c>
      <x:c r="F48" s="356" t="n">
        <x:v>10.133</x:v>
      </x:c>
      <x:c r="G48" s="344" t="n">
        <x:v>0.051710000000000006</x:v>
      </x:c>
      <x:c r="H48" s="340" t="n">
        <x:v>15423</x:v>
      </x:c>
      <x:c r="I48" s="341" t="n">
        <x:v>2115.92</x:v>
      </x:c>
      <x:c r="J48" s="341" t="n">
        <x:v>154.83</x:v>
      </x:c>
      <x:c r="K48" s="341" t="n">
        <x:v>214.41</x:v>
      </x:c>
      <x:c r="L48" s="358" t="n">
        <x:v>0.94</x:v>
      </x:c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 ht="18" customHeight="1">
      <x:c r="A49" s="353" t="str">
        <x:v>7-9</x:v>
      </x:c>
      <x:c r="B49" s="346" t="n">
        <x:v>222442</x:v>
      </x:c>
      <x:c r="C49" s="347" t="n">
        <x:v>115983.29</x:v>
      </x:c>
      <x:c r="D49" s="346" t="n">
        <x:v>11303</x:v>
      </x:c>
      <x:c r="E49" s="355" t="n">
        <x:v>0.097454</x:v>
      </x:c>
      <x:c r="F49" s="357" t="n">
        <x:v>9.745</x:v>
      </x:c>
      <x:c r="G49" s="350" t="n">
        <x:v>0.04806</x:v>
      </x:c>
      <x:c r="H49" s="346" t="n">
        <x:v>8458</x:v>
      </x:c>
      <x:c r="I49" s="347" t="n">
        <x:v>2559.25</x:v>
      </x:c>
      <x:c r="J49" s="347" t="n">
        <x:v>186.63</x:v>
      </x:c>
      <x:c r="K49" s="347" t="n">
        <x:v>249.41</x:v>
      </x:c>
      <x:c r="L49" s="359" t="n">
        <x:v>1.093</x:v>
      </x:c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 ht="18" customHeight="1">
      <x:c r="A50" s="352" t="str">
        <x:v>10+</x:v>
      </x:c>
      <x:c r="B50" s="340" t="n">
        <x:v>66425</x:v>
      </x:c>
      <x:c r="C50" s="341" t="n">
        <x:v>31744.96</x:v>
      </x:c>
      <x:c r="D50" s="340" t="n">
        <x:v>3441</x:v>
      </x:c>
      <x:c r="E50" s="354" t="n">
        <x:v>0.108395</x:v>
      </x:c>
      <x:c r="F50" s="356" t="n">
        <x:v>10.84</x:v>
      </x:c>
      <x:c r="G50" s="344" t="n">
        <x:v>0.04887</x:v>
      </x:c>
      <x:c r="H50" s="340" t="n">
        <x:v>2563</x:v>
      </x:c>
      <x:c r="I50" s="341" t="n">
        <x:v>2196.38</x:v>
      </x:c>
      <x:c r="J50" s="341" t="n">
        <x:v>177.33</x:v>
      </x:c>
      <x:c r="K50" s="341" t="n">
        <x:v>238.08</x:v>
      </x:c>
      <x:c r="L50" s="358" t="n">
        <x:v>1.044</x:v>
      </x:c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 ht="18" customHeight="1">
      <x:c r="A51" s="174"/>
      <x:c r="B51" s="174"/>
      <x:c r="C51" s="174"/>
      <x:c r="D51" s="174"/>
      <x:c r="E51" s="174"/>
      <x:c r="F51" s="174"/>
      <x:c r="G51" s="174"/>
      <x:c r="H51" s="174"/>
      <x:c r="I51" s="174"/>
      <x:c r="J51" s="174"/>
      <x:c r="K51" s="174"/>
      <x:c r="L51" s="174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 ht="18" customHeight="1">
      <x:c r="A52" s="174"/>
      <x:c r="B52" s="174"/>
      <x:c r="C52" s="174"/>
      <x:c r="D52" s="174"/>
      <x:c r="E52" s="174"/>
      <x:c r="F52" s="174"/>
      <x:c r="G52" s="174"/>
      <x:c r="H52" s="174"/>
      <x:c r="I52" s="174"/>
      <x:c r="J52" s="174"/>
      <x:c r="K52" s="174"/>
      <x:c r="L52" s="174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  <x:row r="81">
      <x:c r="A81" s="118"/>
      <x:c r="B81" s="118"/>
      <x:c r="C81" s="118"/>
      <x:c r="D81" s="118"/>
      <x:c r="E81" s="118"/>
      <x:c r="F81" s="118"/>
      <x:c r="G81" s="118"/>
      <x:c r="H81" s="118"/>
      <x:c r="I81" s="118"/>
      <x:c r="J81" s="118"/>
      <x:c r="K81" s="118"/>
      <x:c r="L81" s="118"/>
      <x:c r="M81" s="118"/>
      <x:c r="N81" s="118"/>
      <x:c r="O81" s="118"/>
      <x:c r="P81" s="118"/>
      <x:c r="Q81" s="118"/>
      <x:c r="R81" s="118"/>
      <x:c r="S81" s="118"/>
      <x:c r="T81" s="118"/>
      <x:c r="U81" s="118"/>
      <x:c r="V81" s="118"/>
      <x:c r="W81" s="118"/>
      <x:c r="X81" s="118"/>
      <x:c r="Y81" s="118"/>
      <x:c r="Z81" s="118"/>
    </x:row>
    <x:row r="82">
      <x:c r="A82" s="118"/>
      <x:c r="B82" s="118"/>
      <x:c r="C82" s="118"/>
      <x:c r="D82" s="118"/>
      <x:c r="E82" s="118"/>
      <x:c r="F82" s="118"/>
      <x:c r="G82" s="118"/>
      <x:c r="H82" s="118"/>
      <x:c r="I82" s="118"/>
      <x:c r="J82" s="118"/>
      <x:c r="K82" s="118"/>
      <x:c r="L82" s="118"/>
      <x:c r="M82" s="118"/>
      <x:c r="N82" s="118"/>
      <x:c r="O82" s="118"/>
      <x:c r="P82" s="118"/>
      <x:c r="Q82" s="118"/>
      <x:c r="R82" s="118"/>
      <x:c r="S82" s="118"/>
      <x:c r="T82" s="118"/>
      <x:c r="U82" s="118"/>
      <x:c r="V82" s="118"/>
      <x:c r="W82" s="118"/>
      <x:c r="X82" s="118"/>
      <x:c r="Y82" s="118"/>
      <x:c r="Z82" s="118"/>
    </x:row>
    <x:row r="83">
      <x:c r="A83" s="118"/>
      <x:c r="B83" s="118"/>
      <x:c r="C83" s="118"/>
      <x:c r="D83" s="118"/>
      <x:c r="E83" s="118"/>
      <x:c r="F83" s="118"/>
      <x:c r="G83" s="118"/>
      <x:c r="H83" s="118"/>
      <x:c r="I83" s="118"/>
      <x:c r="J83" s="118"/>
      <x:c r="K83" s="118"/>
      <x:c r="L83" s="118"/>
      <x:c r="M83" s="118"/>
      <x:c r="N83" s="118"/>
      <x:c r="O83" s="118"/>
      <x:c r="P83" s="118"/>
      <x:c r="Q83" s="118"/>
      <x:c r="R83" s="118"/>
      <x:c r="S83" s="118"/>
      <x:c r="T83" s="118"/>
      <x:c r="U83" s="118"/>
      <x:c r="V83" s="118"/>
      <x:c r="W83" s="118"/>
      <x:c r="X83" s="118"/>
      <x:c r="Y83" s="118"/>
      <x:c r="Z83" s="118"/>
    </x:row>
    <x:row r="84">
      <x:c r="A84" s="118"/>
      <x:c r="B84" s="118"/>
      <x:c r="C84" s="118"/>
      <x:c r="D84" s="118"/>
      <x:c r="E84" s="118"/>
      <x:c r="F84" s="118"/>
      <x:c r="G84" s="118"/>
      <x:c r="H84" s="118"/>
      <x:c r="I84" s="118"/>
      <x:c r="J84" s="118"/>
      <x:c r="K84" s="118"/>
      <x:c r="L84" s="118"/>
      <x:c r="M84" s="118"/>
      <x:c r="N84" s="118"/>
      <x:c r="O84" s="118"/>
      <x:c r="P84" s="118"/>
      <x:c r="Q84" s="118"/>
      <x:c r="R84" s="118"/>
      <x:c r="S84" s="118"/>
      <x:c r="T84" s="118"/>
      <x:c r="U84" s="118"/>
      <x:c r="V84" s="118"/>
      <x:c r="W84" s="118"/>
      <x:c r="X84" s="118"/>
      <x:c r="Y84" s="118"/>
      <x:c r="Z84" s="118"/>
    </x:row>
    <x:row r="85">
      <x:c r="A85" s="118"/>
      <x:c r="B85" s="118"/>
      <x:c r="C85" s="118"/>
      <x:c r="D85" s="118"/>
      <x:c r="E85" s="118"/>
      <x:c r="F85" s="118"/>
      <x:c r="G85" s="118"/>
      <x:c r="H85" s="118"/>
      <x:c r="I85" s="118"/>
      <x:c r="J85" s="118"/>
      <x:c r="K85" s="118"/>
      <x:c r="L85" s="118"/>
      <x:c r="M85" s="118"/>
      <x:c r="N85" s="118"/>
      <x:c r="O85" s="118"/>
      <x:c r="P85" s="118"/>
      <x:c r="Q85" s="118"/>
      <x:c r="R85" s="118"/>
      <x:c r="S85" s="118"/>
      <x:c r="T85" s="118"/>
      <x:c r="U85" s="118"/>
      <x:c r="V85" s="118"/>
      <x:c r="W85" s="118"/>
      <x:c r="X85" s="118"/>
      <x:c r="Y85" s="118"/>
      <x:c r="Z85" s="118"/>
    </x:row>
    <x:row r="86">
      <x:c r="A86" s="118"/>
      <x:c r="B86" s="118"/>
      <x:c r="C86" s="118"/>
      <x:c r="D86" s="118"/>
      <x:c r="E86" s="118"/>
      <x:c r="F86" s="118"/>
      <x:c r="G86" s="118"/>
      <x:c r="H86" s="118"/>
      <x:c r="I86" s="118"/>
      <x:c r="J86" s="118"/>
      <x:c r="K86" s="118"/>
      <x:c r="L86" s="118"/>
      <x:c r="M86" s="118"/>
      <x:c r="N86" s="118"/>
      <x:c r="O86" s="118"/>
      <x:c r="P86" s="118"/>
      <x:c r="Q86" s="118"/>
      <x:c r="R86" s="118"/>
      <x:c r="S86" s="118"/>
      <x:c r="T86" s="118"/>
      <x:c r="U86" s="118"/>
      <x:c r="V86" s="118"/>
      <x:c r="W86" s="118"/>
      <x:c r="X86" s="118"/>
      <x:c r="Y86" s="118"/>
      <x:c r="Z86" s="118"/>
    </x:row>
    <x:row r="87">
      <x:c r="A87" s="118"/>
      <x:c r="B87" s="118"/>
      <x:c r="C87" s="118"/>
      <x:c r="D87" s="118"/>
      <x:c r="E87" s="118"/>
      <x:c r="F87" s="118"/>
      <x:c r="G87" s="118"/>
      <x:c r="H87" s="118"/>
      <x:c r="I87" s="118"/>
      <x:c r="J87" s="118"/>
      <x:c r="K87" s="118"/>
      <x:c r="L87" s="118"/>
      <x:c r="M87" s="118"/>
      <x:c r="N87" s="118"/>
      <x:c r="O87" s="118"/>
      <x:c r="P87" s="118"/>
      <x:c r="Q87" s="118"/>
      <x:c r="R87" s="118"/>
      <x:c r="S87" s="118"/>
      <x:c r="T87" s="118"/>
      <x:c r="U87" s="118"/>
      <x:c r="V87" s="118"/>
      <x:c r="W87" s="118"/>
      <x:c r="X87" s="118"/>
      <x:c r="Y87" s="118"/>
      <x:c r="Z87" s="118"/>
    </x:row>
    <x:row r="88">
      <x:c r="A88" s="118"/>
      <x:c r="B88" s="118"/>
      <x:c r="C88" s="118"/>
      <x:c r="D88" s="118"/>
      <x:c r="E88" s="118"/>
      <x:c r="F88" s="118"/>
      <x:c r="G88" s="118"/>
      <x:c r="H88" s="118"/>
      <x:c r="I88" s="118"/>
      <x:c r="J88" s="118"/>
      <x:c r="K88" s="118"/>
      <x:c r="L88" s="118"/>
      <x:c r="M88" s="118"/>
      <x:c r="N88" s="118"/>
      <x:c r="O88" s="118"/>
      <x:c r="P88" s="118"/>
      <x:c r="Q88" s="118"/>
      <x:c r="R88" s="118"/>
      <x:c r="S88" s="118"/>
      <x:c r="T88" s="118"/>
      <x:c r="U88" s="118"/>
      <x:c r="V88" s="118"/>
      <x:c r="W88" s="118"/>
      <x:c r="X88" s="118"/>
      <x:c r="Y88" s="118"/>
      <x:c r="Z88" s="118"/>
    </x:row>
    <x:row r="89">
      <x:c r="A89" s="118"/>
      <x:c r="B89" s="118"/>
      <x:c r="C89" s="118"/>
      <x:c r="D89" s="118"/>
      <x:c r="E89" s="118"/>
      <x:c r="F89" s="118"/>
      <x:c r="G89" s="118"/>
      <x:c r="H89" s="118"/>
      <x:c r="I89" s="118"/>
      <x:c r="J89" s="118"/>
      <x:c r="K89" s="118"/>
      <x:c r="L89" s="118"/>
      <x:c r="M89" s="118"/>
      <x:c r="N89" s="118"/>
      <x:c r="O89" s="118"/>
      <x:c r="P89" s="118"/>
      <x:c r="Q89" s="118"/>
      <x:c r="R89" s="118"/>
      <x:c r="S89" s="118"/>
      <x:c r="T89" s="118"/>
      <x:c r="U89" s="118"/>
      <x:c r="V89" s="118"/>
      <x:c r="W89" s="118"/>
      <x:c r="X89" s="118"/>
      <x:c r="Y89" s="118"/>
      <x:c r="Z89" s="118"/>
    </x:row>
    <x:row r="90">
      <x:c r="A90" s="118"/>
      <x:c r="B90" s="118"/>
      <x:c r="C90" s="118"/>
      <x:c r="D90" s="118"/>
      <x:c r="E90" s="118"/>
      <x:c r="F90" s="118"/>
      <x:c r="G90" s="118"/>
      <x:c r="H90" s="118"/>
      <x:c r="I90" s="118"/>
      <x:c r="J90" s="118"/>
      <x:c r="K90" s="118"/>
      <x:c r="L90" s="118"/>
      <x:c r="M90" s="118"/>
      <x:c r="N90" s="118"/>
      <x:c r="O90" s="118"/>
      <x:c r="P90" s="118"/>
      <x:c r="Q90" s="118"/>
      <x:c r="R90" s="118"/>
      <x:c r="S90" s="118"/>
      <x:c r="T90" s="118"/>
      <x:c r="U90" s="118"/>
      <x:c r="V90" s="118"/>
      <x:c r="W90" s="118"/>
      <x:c r="X90" s="118"/>
      <x:c r="Y90" s="118"/>
      <x:c r="Z90" s="118"/>
    </x:row>
    <x:row r="91">
      <x:c r="A91" s="118"/>
      <x:c r="B91" s="118"/>
      <x:c r="C91" s="118"/>
      <x:c r="D91" s="118"/>
      <x:c r="E91" s="118"/>
      <x:c r="F91" s="118"/>
      <x:c r="G91" s="118"/>
      <x:c r="H91" s="118"/>
      <x:c r="I91" s="118"/>
      <x:c r="J91" s="118"/>
      <x:c r="K91" s="118"/>
      <x:c r="L91" s="118"/>
      <x:c r="M91" s="118"/>
      <x:c r="N91" s="118"/>
      <x:c r="O91" s="118"/>
      <x:c r="P91" s="118"/>
      <x:c r="Q91" s="118"/>
      <x:c r="R91" s="118"/>
      <x:c r="S91" s="118"/>
      <x:c r="T91" s="118"/>
      <x:c r="U91" s="118"/>
      <x:c r="V91" s="118"/>
      <x:c r="W91" s="118"/>
      <x:c r="X91" s="118"/>
      <x:c r="Y91" s="118"/>
      <x:c r="Z91" s="118"/>
    </x:row>
    <x:row r="92">
      <x:c r="A92" s="118"/>
      <x:c r="B92" s="118"/>
      <x:c r="C92" s="118"/>
      <x:c r="D92" s="118"/>
      <x:c r="E92" s="118"/>
      <x:c r="F92" s="118"/>
      <x:c r="G92" s="118"/>
      <x:c r="H92" s="118"/>
      <x:c r="I92" s="118"/>
      <x:c r="J92" s="118"/>
      <x:c r="K92" s="118"/>
      <x:c r="L92" s="118"/>
      <x:c r="M92" s="118"/>
      <x:c r="N92" s="118"/>
      <x:c r="O92" s="118"/>
      <x:c r="P92" s="118"/>
      <x:c r="Q92" s="118"/>
      <x:c r="R92" s="118"/>
      <x:c r="S92" s="118"/>
      <x:c r="T92" s="118"/>
      <x:c r="U92" s="118"/>
      <x:c r="V92" s="118"/>
      <x:c r="W92" s="118"/>
      <x:c r="X92" s="118"/>
      <x:c r="Y92" s="118"/>
      <x:c r="Z92" s="118"/>
    </x:row>
    <x:row r="93">
      <x:c r="A93" s="118"/>
      <x:c r="B93" s="118"/>
      <x:c r="C93" s="118"/>
      <x:c r="D93" s="118"/>
      <x:c r="E93" s="118"/>
      <x:c r="F93" s="118"/>
      <x:c r="G93" s="118"/>
      <x:c r="H93" s="118"/>
      <x:c r="I93" s="118"/>
      <x:c r="J93" s="118"/>
      <x:c r="K93" s="118"/>
      <x:c r="L93" s="118"/>
      <x:c r="M93" s="118"/>
      <x:c r="N93" s="118"/>
      <x:c r="O93" s="118"/>
      <x:c r="P93" s="118"/>
      <x:c r="Q93" s="118"/>
      <x:c r="R93" s="118"/>
      <x:c r="S93" s="118"/>
      <x:c r="T93" s="118"/>
      <x:c r="U93" s="118"/>
      <x:c r="V93" s="118"/>
      <x:c r="W93" s="118"/>
      <x:c r="X93" s="118"/>
      <x:c r="Y93" s="118"/>
      <x:c r="Z93" s="118"/>
    </x:row>
    <x:row r="94">
      <x:c r="A94" s="118"/>
      <x:c r="B94" s="118"/>
      <x:c r="C94" s="118"/>
      <x:c r="D94" s="118"/>
      <x:c r="E94" s="118"/>
      <x:c r="F94" s="118"/>
      <x:c r="G94" s="118"/>
      <x:c r="H94" s="118"/>
      <x:c r="I94" s="118"/>
      <x:c r="J94" s="118"/>
      <x:c r="K94" s="118"/>
      <x:c r="L94" s="118"/>
      <x:c r="M94" s="118"/>
      <x:c r="N94" s="118"/>
      <x:c r="O94" s="118"/>
      <x:c r="P94" s="118"/>
      <x:c r="Q94" s="118"/>
      <x:c r="R94" s="118"/>
      <x:c r="S94" s="118"/>
      <x:c r="T94" s="118"/>
      <x:c r="U94" s="118"/>
      <x:c r="V94" s="118"/>
      <x:c r="W94" s="118"/>
      <x:c r="X94" s="118"/>
      <x:c r="Y94" s="118"/>
      <x:c r="Z94" s="118"/>
    </x:row>
    <x:row r="95">
      <x:c r="A95" s="118"/>
      <x:c r="B95" s="118"/>
      <x:c r="C95" s="118"/>
      <x:c r="D95" s="118"/>
      <x:c r="E95" s="118"/>
      <x:c r="F95" s="118"/>
      <x:c r="G95" s="118"/>
      <x:c r="H95" s="118"/>
      <x:c r="I95" s="118"/>
      <x:c r="J95" s="118"/>
      <x:c r="K95" s="118"/>
      <x:c r="L95" s="118"/>
      <x:c r="M95" s="118"/>
      <x:c r="N95" s="118"/>
      <x:c r="O95" s="118"/>
      <x:c r="P95" s="118"/>
      <x:c r="Q95" s="118"/>
      <x:c r="R95" s="118"/>
      <x:c r="S95" s="118"/>
      <x:c r="T95" s="118"/>
      <x:c r="U95" s="118"/>
      <x:c r="V95" s="118"/>
      <x:c r="W95" s="118"/>
      <x:c r="X95" s="118"/>
      <x:c r="Y95" s="118"/>
      <x:c r="Z95" s="118"/>
    </x:row>
    <x:row r="96">
      <x:c r="A96" s="118"/>
      <x:c r="B96" s="118"/>
      <x:c r="C96" s="118"/>
      <x:c r="D96" s="118"/>
      <x:c r="E96" s="118"/>
      <x:c r="F96" s="118"/>
      <x:c r="G96" s="118"/>
      <x:c r="H96" s="118"/>
      <x:c r="I96" s="118"/>
      <x:c r="J96" s="118"/>
      <x:c r="K96" s="118"/>
      <x:c r="L96" s="118"/>
      <x:c r="M96" s="118"/>
      <x:c r="N96" s="118"/>
      <x:c r="O96" s="118"/>
      <x:c r="P96" s="118"/>
      <x:c r="Q96" s="118"/>
      <x:c r="R96" s="118"/>
      <x:c r="S96" s="118"/>
      <x:c r="T96" s="118"/>
      <x:c r="U96" s="118"/>
      <x:c r="V96" s="118"/>
      <x:c r="W96" s="118"/>
      <x:c r="X96" s="118"/>
      <x:c r="Y96" s="118"/>
      <x:c r="Z96" s="118"/>
    </x:row>
    <x:row r="97">
      <x:c r="A97" s="118"/>
      <x:c r="B97" s="118"/>
      <x:c r="C97" s="118"/>
      <x:c r="D97" s="118"/>
      <x:c r="E97" s="118"/>
      <x:c r="F97" s="118"/>
      <x:c r="G97" s="118"/>
      <x:c r="H97" s="118"/>
      <x:c r="I97" s="118"/>
      <x:c r="J97" s="118"/>
      <x:c r="K97" s="118"/>
      <x:c r="L97" s="118"/>
      <x:c r="M97" s="118"/>
      <x:c r="N97" s="118"/>
      <x:c r="O97" s="118"/>
      <x:c r="P97" s="118"/>
      <x:c r="Q97" s="118"/>
      <x:c r="R97" s="118"/>
      <x:c r="S97" s="118"/>
      <x:c r="T97" s="118"/>
      <x:c r="U97" s="118"/>
      <x:c r="V97" s="118"/>
      <x:c r="W97" s="118"/>
      <x:c r="X97" s="118"/>
      <x:c r="Y97" s="118"/>
      <x:c r="Z97" s="118"/>
    </x:row>
    <x:row r="98">
      <x:c r="A98" s="118"/>
      <x:c r="B98" s="118"/>
      <x:c r="C98" s="118"/>
      <x:c r="D98" s="118"/>
      <x:c r="E98" s="118"/>
      <x:c r="F98" s="118"/>
      <x:c r="G98" s="118"/>
      <x:c r="H98" s="118"/>
      <x:c r="I98" s="118"/>
      <x:c r="J98" s="118"/>
      <x:c r="K98" s="118"/>
      <x:c r="L98" s="118"/>
      <x:c r="M98" s="118"/>
      <x:c r="N98" s="118"/>
      <x:c r="O98" s="118"/>
      <x:c r="P98" s="118"/>
      <x:c r="Q98" s="118"/>
      <x:c r="R98" s="118"/>
      <x:c r="S98" s="118"/>
      <x:c r="T98" s="118"/>
      <x:c r="U98" s="118"/>
      <x:c r="V98" s="118"/>
      <x:c r="W98" s="118"/>
      <x:c r="X98" s="118"/>
      <x:c r="Y98" s="118"/>
      <x:c r="Z98" s="118"/>
    </x:row>
    <x:row r="99">
      <x:c r="A99" s="118"/>
      <x:c r="B99" s="118"/>
      <x:c r="C99" s="118"/>
      <x:c r="D99" s="118"/>
      <x:c r="E99" s="118"/>
      <x:c r="F99" s="118"/>
      <x:c r="G99" s="118"/>
      <x:c r="H99" s="118"/>
      <x:c r="I99" s="118"/>
      <x:c r="J99" s="118"/>
      <x:c r="K99" s="118"/>
      <x:c r="L99" s="118"/>
      <x:c r="M99" s="118"/>
      <x:c r="N99" s="118"/>
      <x:c r="O99" s="118"/>
      <x:c r="P99" s="118"/>
      <x:c r="Q99" s="118"/>
      <x:c r="R99" s="118"/>
      <x:c r="S99" s="118"/>
      <x:c r="T99" s="118"/>
      <x:c r="U99" s="118"/>
      <x:c r="V99" s="118"/>
      <x:c r="W99" s="118"/>
      <x:c r="X99" s="118"/>
      <x:c r="Y99" s="118"/>
      <x:c r="Z99" s="118"/>
    </x:row>
    <x:row r="100">
      <x:c r="A100" s="118"/>
      <x:c r="B100" s="118"/>
      <x:c r="C100" s="118"/>
      <x:c r="D100" s="118"/>
      <x:c r="E100" s="118"/>
      <x:c r="F100" s="118"/>
      <x:c r="G100" s="118"/>
      <x:c r="H100" s="118"/>
      <x:c r="I100" s="118"/>
      <x:c r="J100" s="118"/>
      <x:c r="K100" s="118"/>
      <x:c r="L100" s="118"/>
      <x:c r="M100" s="118"/>
      <x:c r="N100" s="118"/>
      <x:c r="O100" s="118"/>
      <x:c r="P100" s="118"/>
      <x:c r="Q100" s="118"/>
      <x:c r="R100" s="118"/>
      <x:c r="S100" s="118"/>
      <x:c r="T100" s="118"/>
      <x:c r="U100" s="118"/>
      <x:c r="V100" s="118"/>
      <x:c r="W100" s="118"/>
      <x:c r="X100" s="118"/>
      <x:c r="Y100" s="118"/>
      <x:c r="Z100" s="118"/>
    </x:row>
  </x:sheetData>
  <x:mergeCells>
    <x:mergeCell ref="A4:L4"/>
    <x:mergeCell ref="A14:L14"/>
    <x:mergeCell ref="A22:L22"/>
    <x:mergeCell ref="A32:L32"/>
    <x:mergeCell ref="A40:L40"/>
    <x:mergeCell ref="A46:L46"/>
    <x:mergeCell ref="A1:L2"/>
    <x:mergeCell ref="A3:L3"/>
  </x:mergeCells>
  <x:conditionalFormatting sqref="K6:K11">
    <x:cfRule type="dataBar" priority="1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{FF6F67E1-E0F4-46EA-7719-58B559BFBC86}</x14:id>
        </x:ext>
      </x:extLst>
    </x:cfRule>
  </x:conditionalFormatting>
  <x:conditionalFormatting sqref="L6:L11">
    <x:cfRule type="dataBar" priority="2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{78359E92-7943-3F8C-1BEE-8B00554B968E}</x14:id>
        </x:ext>
      </x:extLst>
    </x:cfRule>
  </x:conditionalFormatting>
  <x:conditionalFormatting sqref="K16:K19">
    <x:cfRule type="dataBar" priority="3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{4E186642-F893-669E-CB08-1980349A17EB}</x14:id>
        </x:ext>
      </x:extLst>
    </x:cfRule>
  </x:conditionalFormatting>
  <x:conditionalFormatting sqref="L16:L19">
    <x:cfRule type="dataBar" priority="4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{0DBBBFA9-7A57-C35A-78C4-F087466B033C}</x14:id>
        </x:ext>
      </x:extLst>
    </x:cfRule>
  </x:conditionalFormatting>
  <x:conditionalFormatting sqref="K24:K29">
    <x:cfRule type="dataBar" priority="5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{460881FD-A5E7-87F4-1A32-2706D4ADD095}</x14:id>
        </x:ext>
      </x:extLst>
    </x:cfRule>
  </x:conditionalFormatting>
  <x:conditionalFormatting sqref="L24:L29">
    <x:cfRule type="dataBar" priority="6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{1D0D6900-4A5F-C130-A87F-5A9C59C470CF}</x14:id>
        </x:ext>
      </x:extLst>
    </x:cfRule>
  </x:conditionalFormatting>
  <x:conditionalFormatting sqref="K34:K37">
    <x:cfRule type="dataBar" priority="7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{5AF4DB3B-836B-CDD9-8DA4-D2363AB6613A}</x14:id>
        </x:ext>
      </x:extLst>
    </x:cfRule>
  </x:conditionalFormatting>
  <x:conditionalFormatting sqref="L34:L37">
    <x:cfRule type="dataBar" priority="8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{38177A60-1386-D530-E0C6-38401C32C6B7}</x14:id>
        </x:ext>
      </x:extLst>
    </x:cfRule>
  </x:conditionalFormatting>
  <x:conditionalFormatting sqref="K42:K43">
    <x:cfRule type="dataBar" priority="9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{B33431B6-9EAB-CD9A-BA92-018DA816FCBA}</x14:id>
        </x:ext>
      </x:extLst>
    </x:cfRule>
  </x:conditionalFormatting>
  <x:conditionalFormatting sqref="L42:L43">
    <x:cfRule type="dataBar" priority="10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{9A7DC346-3CC1-4C46-ECC7-94C9CB2B25C4}</x14:id>
        </x:ext>
      </x:extLst>
    </x:cfRule>
  </x:conditionalFormatting>
  <x:conditionalFormatting sqref="K48:K50">
    <x:cfRule type="dataBar" priority="11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{8D4A68A1-060F-11BF-9FD1-FC1F92ED1253}</x14:id>
        </x:ext>
      </x:extLst>
    </x:cfRule>
  </x:conditionalFormatting>
  <x:conditionalFormatting sqref="L48:L50">
    <x:cfRule type="dataBar" priority="12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{110B6D5A-2EBC-F1AB-90AF-BA9166A2F3EA}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F6F67E1-E0F4-46EA-7719-58B559BFBC86}">
            <x14:dataBar gradient="1">
              <x14:cfvo type="min"/>
              <x14:cfvo type="max"/>
              <x14:fillColor rgb="FF2B7A78"/>
            </x14:dataBar>
          </x14:cfRule>
          <xm:sqref>K6:K11</xm:sqref>
        </x14:conditionalFormatting>
        <x14:conditionalFormatting>
          <x14:cfRule type="dataBar" priority="2" id="{78359E92-7943-3F8C-1BEE-8B00554B968E}">
            <x14:dataBar gradient="1">
              <x14:cfvo type="min"/>
              <x14:cfvo type="max"/>
              <x14:fillColor rgb="FFD6A84B"/>
            </x14:dataBar>
          </x14:cfRule>
          <xm:sqref>L6:L11</xm:sqref>
        </x14:conditionalFormatting>
        <x14:conditionalFormatting>
          <x14:cfRule type="dataBar" priority="3" id="{4E186642-F893-669E-CB08-1980349A17EB}">
            <x14:dataBar gradient="1">
              <x14:cfvo type="min"/>
              <x14:cfvo type="max"/>
              <x14:fillColor rgb="FF2B7A78"/>
            </x14:dataBar>
          </x14:cfRule>
          <xm:sqref>K16:K19</xm:sqref>
        </x14:conditionalFormatting>
        <x14:conditionalFormatting>
          <x14:cfRule type="dataBar" priority="4" id="{0DBBBFA9-7A57-C35A-78C4-F087466B033C}">
            <x14:dataBar gradient="1">
              <x14:cfvo type="min"/>
              <x14:cfvo type="max"/>
              <x14:fillColor rgb="FFD6A84B"/>
            </x14:dataBar>
          </x14:cfRule>
          <xm:sqref>L16:L19</xm:sqref>
        </x14:conditionalFormatting>
        <x14:conditionalFormatting>
          <x14:cfRule type="dataBar" priority="5" id="{460881FD-A5E7-87F4-1A32-2706D4ADD095}">
            <x14:dataBar gradient="1">
              <x14:cfvo type="min"/>
              <x14:cfvo type="max"/>
              <x14:fillColor rgb="FF2B7A78"/>
            </x14:dataBar>
          </x14:cfRule>
          <xm:sqref>K24:K29</xm:sqref>
        </x14:conditionalFormatting>
        <x14:conditionalFormatting>
          <x14:cfRule type="dataBar" priority="6" id="{1D0D6900-4A5F-C130-A87F-5A9C59C470CF}">
            <x14:dataBar gradient="1">
              <x14:cfvo type="min"/>
              <x14:cfvo type="max"/>
              <x14:fillColor rgb="FFD6A84B"/>
            </x14:dataBar>
          </x14:cfRule>
          <xm:sqref>L24:L29</xm:sqref>
        </x14:conditionalFormatting>
        <x14:conditionalFormatting>
          <x14:cfRule type="dataBar" priority="7" id="{5AF4DB3B-836B-CDD9-8DA4-D2363AB6613A}">
            <x14:dataBar gradient="1">
              <x14:cfvo type="min"/>
              <x14:cfvo type="max"/>
              <x14:fillColor rgb="FF2B7A78"/>
            </x14:dataBar>
          </x14:cfRule>
          <xm:sqref>K34:K37</xm:sqref>
        </x14:conditionalFormatting>
        <x14:conditionalFormatting>
          <x14:cfRule type="dataBar" priority="8" id="{38177A60-1386-D530-E0C6-38401C32C6B7}">
            <x14:dataBar gradient="1">
              <x14:cfvo type="min"/>
              <x14:cfvo type="max"/>
              <x14:fillColor rgb="FFD6A84B"/>
            </x14:dataBar>
          </x14:cfRule>
          <xm:sqref>L34:L37</xm:sqref>
        </x14:conditionalFormatting>
        <x14:conditionalFormatting>
          <x14:cfRule type="dataBar" priority="9" id="{B33431B6-9EAB-CD9A-BA92-018DA816FCBA}">
            <x14:dataBar gradient="1">
              <x14:cfvo type="min"/>
              <x14:cfvo type="max"/>
              <x14:fillColor rgb="FF2B7A78"/>
            </x14:dataBar>
          </x14:cfRule>
          <xm:sqref>K42:K43</xm:sqref>
        </x14:conditionalFormatting>
        <x14:conditionalFormatting>
          <x14:cfRule type="dataBar" priority="10" id="{9A7DC346-3CC1-4C46-ECC7-94C9CB2B25C4}">
            <x14:dataBar gradient="1">
              <x14:cfvo type="min"/>
              <x14:cfvo type="max"/>
              <x14:fillColor rgb="FFD6A84B"/>
            </x14:dataBar>
          </x14:cfRule>
          <xm:sqref>L42:L43</xm:sqref>
        </x14:conditionalFormatting>
        <x14:conditionalFormatting>
          <x14:cfRule type="dataBar" priority="11" id="{8D4A68A1-060F-11BF-9FD1-FC1F92ED1253}">
            <x14:dataBar gradient="1">
              <x14:cfvo type="min"/>
              <x14:cfvo type="max"/>
              <x14:fillColor rgb="FF2B7A78"/>
            </x14:dataBar>
          </x14:cfRule>
          <xm:sqref>K48:K50</xm:sqref>
        </x14:conditionalFormatting>
        <x14:conditionalFormatting>
          <x14:cfRule type="dataBar" priority="12" id="{110B6D5A-2EBC-F1AB-90AF-BA9166A2F3EA}">
            <x14:dataBar gradient="1">
              <x14:cfvo type="min"/>
              <x14:cfvo type="max"/>
              <x14:fillColor rgb="FFD6A84B"/>
            </x14:dataBar>
          </x14:cfRule>
          <xm:sqref>L48:L50</xm:sqref>
        </x14:conditionalFormatting>
      </x14:conditionalFormattings>
    </x:ext>
  </x:extLst>
</x:worksheet>
</file>